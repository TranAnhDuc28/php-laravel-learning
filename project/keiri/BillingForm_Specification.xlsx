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8001_{96A1DD34-B3F4-4A6F-B99F-DDE813F26D0C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1.契約要目表" sheetId="10" r:id="rId1"/>
    <sheet name="注" sheetId="18" r:id="rId2"/>
    <sheet name="2.Sep_24 " sheetId="14" r:id="rId3"/>
    <sheet name="2.Oct_24" sheetId="13" r:id="rId4"/>
    <sheet name="2.Nov_24" sheetId="4" r:id="rId5"/>
    <sheet name="2.Dec_24" sheetId="15" r:id="rId6"/>
    <sheet name="3.請求書" sheetId="8" r:id="rId7"/>
    <sheet name="Project Status" sheetId="17" r:id="rId8"/>
  </sheets>
  <externalReferences>
    <externalReference r:id="rId9"/>
    <externalReference r:id="rId10"/>
  </externalReferences>
  <definedNames>
    <definedName name="_SA79">'[1]Comparison-Other Exp_Feb07'!$AM$1:$AM$65536</definedName>
    <definedName name="abc" localSheetId="5">#REF!</definedName>
    <definedName name="abc" localSheetId="3">#REF!</definedName>
    <definedName name="abc" localSheetId="2">#REF!</definedName>
    <definedName name="abc">#REF!</definedName>
    <definedName name="Asset_Register" localSheetId="5">#REF!</definedName>
    <definedName name="Asset_Register" localSheetId="3">#REF!</definedName>
    <definedName name="Asset_Register" localSheetId="2">#REF!</definedName>
    <definedName name="Asset_Register">#REF!</definedName>
    <definedName name="balance_sheet" localSheetId="5">#REF!</definedName>
    <definedName name="balance_sheet" localSheetId="3">#REF!</definedName>
    <definedName name="balance_sheet" localSheetId="2">#REF!</definedName>
    <definedName name="balance_sheet">#REF!</definedName>
    <definedName name="bd">'[1]Staff Cost_Jan07'!$AL$12</definedName>
    <definedName name="BS" localSheetId="5">#REF!</definedName>
    <definedName name="BS" localSheetId="3">#REF!</definedName>
    <definedName name="BS" localSheetId="2">#REF!</definedName>
    <definedName name="BS">#REF!</definedName>
    <definedName name="bv" localSheetId="5">#REF!</definedName>
    <definedName name="bv" localSheetId="3">#REF!</definedName>
    <definedName name="bv" localSheetId="2">#REF!</definedName>
    <definedName name="bv">#REF!</definedName>
    <definedName name="cr_acc_acc" localSheetId="5">#REF!</definedName>
    <definedName name="cr_acc_acc" localSheetId="3">#REF!</definedName>
    <definedName name="cr_acc_acc" localSheetId="2">#REF!</definedName>
    <definedName name="cr_acc_acc">#REF!</definedName>
    <definedName name="pl" localSheetId="5">#REF!</definedName>
    <definedName name="pl" localSheetId="3">#REF!</definedName>
    <definedName name="pl">#REF!</definedName>
    <definedName name="_xlnm.Print_Area" localSheetId="5">'2.Dec_24'!$A$1:$J$73</definedName>
    <definedName name="_xlnm.Print_Area" localSheetId="4">'2.Nov_24'!$A$1:$J$71</definedName>
    <definedName name="_xlnm.Print_Area" localSheetId="3">'2.Oct_24'!$A$1:$J$65</definedName>
    <definedName name="_xlnm.Print_Area" localSheetId="2">'2.Sep_24 '!$A$1:$J$64</definedName>
    <definedName name="_xlnm.Print_Area">#REF!</definedName>
    <definedName name="Print_Area_MI" localSheetId="5">#REF!</definedName>
    <definedName name="Print_Area_MI" localSheetId="3">#REF!</definedName>
    <definedName name="Print_Area_MI" localSheetId="2">#REF!</definedName>
    <definedName name="Print_Area_MI">#REF!</definedName>
    <definedName name="Print_Titles_MI" localSheetId="5">#REF!</definedName>
    <definedName name="Print_Titles_MI" localSheetId="3">#REF!</definedName>
    <definedName name="Print_Titles_MI" localSheetId="2">#REF!</definedName>
    <definedName name="Print_Titles_MI">#REF!</definedName>
    <definedName name="_xlnm.Recorder" localSheetId="5">#REF!</definedName>
    <definedName name="_xlnm.Recorder" localSheetId="3">#REF!</definedName>
    <definedName name="_xlnm.Recorder">#REF!</definedName>
    <definedName name="sa">#REF!</definedName>
    <definedName name="Sel_Area">[2]Sum_THB!$M$207:$M$212</definedName>
    <definedName name="Sel_Brand">[2]Sum_THB!$G$207:$G$225</definedName>
    <definedName name="Sel_BrandAffil">[2]Sum_THB!$H$207:$H$210</definedName>
    <definedName name="Sel_BusType">[2]Sum_THB!$I$207:$I$210</definedName>
    <definedName name="Sel_City">[2]Sum_THB!$J$207:$J$239</definedName>
    <definedName name="Sel_Country">[2]Sum_THB!$K$207:$K$219</definedName>
    <definedName name="Sel_InvestCat">[2]Sum_THB!$P$207:$P$210</definedName>
    <definedName name="Sel_MainCat">[2]Sum_THB!$N$207:$N$210</definedName>
    <definedName name="Sel_OpYear">[2]Sum_THB!$F$207:$F$209</definedName>
    <definedName name="Sel_OtherCat">[2]Sum_THB!$Q$207:$Q$212</definedName>
    <definedName name="Sel_Region">[2]Sum_THB!$L$207:$L$218</definedName>
    <definedName name="Sel_StatusCat">[2]Sum_THB!$O$207:$O$213</definedName>
    <definedName name="Summary" localSheetId="5">#REF!</definedName>
    <definedName name="Summary" localSheetId="3">#REF!</definedName>
    <definedName name="Summary" localSheetId="2">#REF!</definedName>
    <definedName name="Summary">#REF!</definedName>
    <definedName name="wrn.Balance._.Sheet." localSheetId="0" hidden="1">{"Balsheet",#N/A,FALSE,"BalSheet"}</definedName>
    <definedName name="wrn.Balance._.Sheet." localSheetId="5" hidden="1">{"Balsheet",#N/A,FALSE,"BalSheet"}</definedName>
    <definedName name="wrn.Balance._.Sheet." localSheetId="3" hidden="1">{"Balsheet",#N/A,FALSE,"BalSheet"}</definedName>
    <definedName name="wrn.Balance._.Sheet." localSheetId="2" hidden="1">{"Balsheet",#N/A,FALSE,"BalSheet"}</definedName>
    <definedName name="wrn.Balance._.Sheet." hidden="1">{"Balsheet",#N/A,FALSE,"BalSheet"}</definedName>
    <definedName name="wrn.FULL._.REPORT." localSheetId="0" hidden="1">{"title",#N/A,TRUE,"title";"content",#N/A,TRUE,"content";"BusPlan",#N/A,TRUE,"BusPlan";"kpi",#N/A,TRUE,"KPI";"profit",#N/A,TRUE,"Profit";"Balsheet",#N/A,TRUE,"BalSheet";"Misc",#N/A,TRUE,"Misc";"tracking",#N/A,TRUE,"tracking";"market",#N/A,TRUE,"Market"}</definedName>
    <definedName name="wrn.FULL._.REPORT." localSheetId="5" hidden="1">{"title",#N/A,TRUE,"title";"content",#N/A,TRUE,"content";"BusPlan",#N/A,TRUE,"BusPlan";"kpi",#N/A,TRUE,"KPI";"profit",#N/A,TRUE,"Profit";"Balsheet",#N/A,TRUE,"BalSheet";"Misc",#N/A,TRUE,"Misc";"tracking",#N/A,TRUE,"tracking";"market",#N/A,TRUE,"Market"}</definedName>
    <definedName name="wrn.FULL._.REPORT." localSheetId="3" hidden="1">{"title",#N/A,TRUE,"title";"content",#N/A,TRUE,"content";"BusPlan",#N/A,TRUE,"BusPlan";"kpi",#N/A,TRUE,"KPI";"profit",#N/A,TRUE,"Profit";"Balsheet",#N/A,TRUE,"BalSheet";"Misc",#N/A,TRUE,"Misc";"tracking",#N/A,TRUE,"tracking";"market",#N/A,TRUE,"Market"}</definedName>
    <definedName name="wrn.FULL._.REPORT." localSheetId="2" hidden="1">{"title",#N/A,TRUE,"title";"content",#N/A,TRUE,"content";"BusPlan",#N/A,TRUE,"BusPlan";"kpi",#N/A,TRUE,"KPI";"profit",#N/A,TRUE,"Profit";"Balsheet",#N/A,TRUE,"BalSheet";"Misc",#N/A,TRUE,"Misc";"tracking",#N/A,TRUE,"tracking";"market",#N/A,TRUE,"Market"}</definedName>
    <definedName name="wrn.FULL._.REPORT." hidden="1">{"title",#N/A,TRUE,"title";"content",#N/A,TRUE,"content";"BusPlan",#N/A,TRUE,"BusPlan";"kpi",#N/A,TRUE,"KPI";"profit",#N/A,TRUE,"Profit";"Balsheet",#N/A,TRUE,"BalSheet";"Misc",#N/A,TRUE,"Misc";"tracking",#N/A,TRUE,"tracking";"market",#N/A,TRUE,"Market"}</definedName>
    <definedName name="wrn.graphdata." localSheetId="0" hidden="1">{#N/A,#N/A,FALSE,"GraphData"}</definedName>
    <definedName name="wrn.graphdata." localSheetId="5" hidden="1">{#N/A,#N/A,FALSE,"GraphData"}</definedName>
    <definedName name="wrn.graphdata." localSheetId="3" hidden="1">{#N/A,#N/A,FALSE,"GraphData"}</definedName>
    <definedName name="wrn.graphdata." localSheetId="2" hidden="1">{#N/A,#N/A,FALSE,"GraphData"}</definedName>
    <definedName name="wrn.graphdata." hidden="1">{#N/A,#N/A,FALSE,"GraphData"}</definedName>
    <definedName name="wrn.KPI." localSheetId="0" hidden="1">{"kpi",#N/A,FALSE,"KPI"}</definedName>
    <definedName name="wrn.KPI." localSheetId="5" hidden="1">{"kpi",#N/A,FALSE,"KPI"}</definedName>
    <definedName name="wrn.KPI." localSheetId="3" hidden="1">{"kpi",#N/A,FALSE,"KPI"}</definedName>
    <definedName name="wrn.KPI." localSheetId="2" hidden="1">{"kpi",#N/A,FALSE,"KPI"}</definedName>
    <definedName name="wrn.KPI." hidden="1">{"kpi",#N/A,FALSE,"KPI"}</definedName>
    <definedName name="wrn.Miscellaneous." localSheetId="0" hidden="1">{"Misc",#N/A,FALSE,"Misc"}</definedName>
    <definedName name="wrn.Miscellaneous." localSheetId="5" hidden="1">{"Misc",#N/A,FALSE,"Misc"}</definedName>
    <definedName name="wrn.Miscellaneous." localSheetId="3" hidden="1">{"Misc",#N/A,FALSE,"Misc"}</definedName>
    <definedName name="wrn.Miscellaneous." localSheetId="2" hidden="1">{"Misc",#N/A,FALSE,"Misc"}</definedName>
    <definedName name="wrn.Miscellaneous." hidden="1">{"Misc",#N/A,FALSE,"Misc"}</definedName>
    <definedName name="wrn.Profit._.Statement." localSheetId="0" hidden="1">{"profit",#N/A,FALSE,"Profit"}</definedName>
    <definedName name="wrn.Profit._.Statement." localSheetId="5" hidden="1">{"profit",#N/A,FALSE,"Profit"}</definedName>
    <definedName name="wrn.Profit._.Statement." localSheetId="3" hidden="1">{"profit",#N/A,FALSE,"Profit"}</definedName>
    <definedName name="wrn.Profit._.Statement." localSheetId="2" hidden="1">{"profit",#N/A,FALSE,"Profit"}</definedName>
    <definedName name="wrn.Profit._.Statement." hidden="1">{"profit",#N/A,FALSE,"Profit"}</definedName>
    <definedName name="wrn.Title._.Page." localSheetId="0" hidden="1">{"title",#N/A,FALSE,"title"}</definedName>
    <definedName name="wrn.Title._.Page." localSheetId="5" hidden="1">{"title",#N/A,FALSE,"title"}</definedName>
    <definedName name="wrn.Title._.Page." localSheetId="3" hidden="1">{"title",#N/A,FALSE,"title"}</definedName>
    <definedName name="wrn.Title._.Page." localSheetId="2" hidden="1">{"title",#N/A,FALSE,"title"}</definedName>
    <definedName name="wrn.Title._.Page." hidden="1">{"title",#N/A,FALSE,"title"}</definedName>
    <definedName name="wrn.Tracking." localSheetId="0" hidden="1">{"tracking",#N/A,FALSE,"tracking"}</definedName>
    <definedName name="wrn.Tracking." localSheetId="5" hidden="1">{"tracking",#N/A,FALSE,"tracking"}</definedName>
    <definedName name="wrn.Tracking." localSheetId="3" hidden="1">{"tracking",#N/A,FALSE,"tracking"}</definedName>
    <definedName name="wrn.Tracking." localSheetId="2" hidden="1">{"tracking",#N/A,FALSE,"tracking"}</definedName>
    <definedName name="wrn.Tracking." hidden="1">{"tracking",#N/A,FALSE,"tracking"}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7" l="1"/>
  <c r="G6" i="17"/>
  <c r="H26" i="4"/>
  <c r="H22" i="4"/>
  <c r="H26" i="15"/>
  <c r="H48" i="14"/>
  <c r="F14" i="18"/>
  <c r="F13" i="18"/>
  <c r="H62" i="15" l="1"/>
  <c r="H60" i="4"/>
  <c r="H56" i="15"/>
  <c r="H54" i="4"/>
  <c r="H44" i="15"/>
  <c r="H42" i="4"/>
  <c r="H54" i="15"/>
  <c r="H52" i="4"/>
  <c r="H60" i="15"/>
  <c r="H58" i="4"/>
  <c r="H54" i="13"/>
  <c r="H52" i="15"/>
  <c r="H50" i="4"/>
  <c r="H48" i="13"/>
  <c r="L41" i="17" l="1"/>
  <c r="H22" i="14" l="1"/>
  <c r="L39" i="17" l="1"/>
  <c r="N37" i="17"/>
  <c r="L37" i="17"/>
  <c r="N36" i="17"/>
  <c r="L36" i="17"/>
  <c r="N31" i="17"/>
  <c r="N23" i="17"/>
  <c r="N8" i="17"/>
  <c r="N10" i="17"/>
  <c r="L31" i="17"/>
  <c r="L30" i="17"/>
  <c r="N30" i="17"/>
  <c r="O30" i="17" s="1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4" i="17"/>
  <c r="L13" i="17"/>
  <c r="L12" i="17"/>
  <c r="L11" i="17"/>
  <c r="L10" i="17"/>
  <c r="L9" i="17"/>
  <c r="L8" i="17"/>
  <c r="L7" i="17"/>
  <c r="N7" i="17"/>
  <c r="N26" i="17"/>
  <c r="N27" i="17" l="1"/>
  <c r="O27" i="17" s="1"/>
  <c r="N17" i="17"/>
  <c r="O17" i="17" s="1"/>
  <c r="N12" i="17"/>
  <c r="O12" i="17" s="1"/>
  <c r="N19" i="17"/>
  <c r="O31" i="17"/>
  <c r="O7" i="17"/>
  <c r="N9" i="17"/>
  <c r="O9" i="17" s="1"/>
  <c r="O26" i="17"/>
  <c r="O23" i="17"/>
  <c r="O8" i="17"/>
  <c r="O10" i="17"/>
  <c r="L32" i="17"/>
  <c r="L34" i="17" s="1"/>
  <c r="G58" i="17" l="1"/>
  <c r="N13" i="17"/>
  <c r="O13" i="17" s="1"/>
  <c r="O19" i="17" l="1"/>
  <c r="N25" i="17"/>
  <c r="O25" i="17" s="1"/>
  <c r="N20" i="17"/>
  <c r="O20" i="17" s="1"/>
  <c r="N11" i="17"/>
  <c r="N28" i="17"/>
  <c r="O28" i="17" s="1"/>
  <c r="N29" i="17"/>
  <c r="O29" i="17" s="1"/>
  <c r="N14" i="17" l="1"/>
  <c r="O14" i="17" s="1"/>
  <c r="N18" i="17"/>
  <c r="O18" i="17" s="1"/>
  <c r="O15" i="17"/>
  <c r="O11" i="17"/>
  <c r="N22" i="17" l="1"/>
  <c r="O22" i="17" s="1"/>
  <c r="G16" i="17"/>
  <c r="N21" i="17" l="1"/>
  <c r="O21" i="17" s="1"/>
  <c r="G11" i="17"/>
  <c r="N24" i="17"/>
  <c r="O24" i="17" s="1"/>
  <c r="N16" i="17" l="1"/>
  <c r="G21" i="17"/>
  <c r="G61" i="17" s="1"/>
  <c r="G65" i="17" s="1"/>
  <c r="G25" i="17"/>
  <c r="O16" i="17" l="1"/>
  <c r="N32" i="17"/>
  <c r="H58" i="15"/>
  <c r="H40" i="15"/>
  <c r="H64" i="15"/>
  <c r="H50" i="15"/>
  <c r="H48" i="15"/>
  <c r="H62" i="4"/>
  <c r="H56" i="4"/>
  <c r="H48" i="4"/>
  <c r="H46" i="4"/>
  <c r="H44" i="4"/>
  <c r="H56" i="13"/>
  <c r="H52" i="13"/>
  <c r="H50" i="13"/>
  <c r="H46" i="13"/>
  <c r="H44" i="13"/>
  <c r="H42" i="13"/>
  <c r="H46" i="14"/>
  <c r="H50" i="14"/>
  <c r="H28" i="14"/>
  <c r="H24" i="14"/>
  <c r="H26" i="14"/>
  <c r="H18" i="14"/>
  <c r="O32" i="17" l="1"/>
  <c r="N34" i="17"/>
  <c r="N39" i="17" s="1"/>
  <c r="H46" i="15"/>
  <c r="H42" i="15"/>
  <c r="H40" i="4"/>
  <c r="H36" i="4"/>
  <c r="H40" i="13"/>
  <c r="H38" i="13"/>
  <c r="H36" i="13"/>
  <c r="H34" i="13"/>
  <c r="H32" i="13"/>
  <c r="H30" i="13"/>
  <c r="H28" i="13"/>
  <c r="H26" i="13"/>
  <c r="H24" i="13"/>
  <c r="H22" i="13"/>
  <c r="H20" i="13"/>
  <c r="H18" i="13"/>
  <c r="H16" i="13"/>
  <c r="H54" i="14"/>
  <c r="H52" i="14"/>
  <c r="H14" i="13" l="1"/>
  <c r="H58" i="13" s="1"/>
  <c r="H38" i="15" l="1"/>
  <c r="H44" i="14" l="1"/>
  <c r="H42" i="14"/>
  <c r="H38" i="4"/>
  <c r="H34" i="4"/>
  <c r="H36" i="15"/>
  <c r="H34" i="15" l="1"/>
  <c r="H32" i="15"/>
  <c r="H30" i="15"/>
  <c r="H28" i="15"/>
  <c r="H24" i="15"/>
  <c r="H20" i="15"/>
  <c r="H18" i="15"/>
  <c r="H16" i="15"/>
  <c r="H14" i="15"/>
  <c r="H32" i="4"/>
  <c r="H30" i="4"/>
  <c r="H28" i="4"/>
  <c r="H24" i="4"/>
  <c r="H20" i="4"/>
  <c r="H18" i="4"/>
  <c r="H16" i="4"/>
  <c r="H14" i="4"/>
  <c r="H60" i="13"/>
  <c r="F25" i="8" s="1"/>
  <c r="H20" i="14"/>
  <c r="H66" i="15" l="1"/>
  <c r="H68" i="15" s="1"/>
  <c r="F27" i="8" s="1"/>
  <c r="H64" i="4"/>
  <c r="H66" i="4" s="1"/>
  <c r="F26" i="8" s="1"/>
  <c r="H40" i="14"/>
  <c r="H38" i="14"/>
  <c r="H36" i="14"/>
  <c r="H34" i="14"/>
  <c r="H32" i="14"/>
  <c r="H30" i="14"/>
  <c r="H16" i="14"/>
  <c r="H14" i="14"/>
  <c r="H56" i="14" l="1"/>
  <c r="H58" i="14" s="1"/>
  <c r="F24" i="8" s="1"/>
  <c r="L44" i="17" l="1" a="1"/>
  <c r="L44" i="17" s="1"/>
  <c r="L45" i="17" s="1"/>
  <c r="P44" i="17"/>
  <c r="O44" i="17"/>
  <c r="N44" i="17"/>
  <c r="M44" i="1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<sst xmlns="http://schemas.openxmlformats.org/spreadsheetml/2006/main" count="847" uniqueCount="279">
  <si>
    <t>契約要目表</t>
    <rPh sb="0" eb="2">
      <t>ケイヤク</t>
    </rPh>
    <rPh sb="2" eb="5">
      <t>ヨウモクヒョウ</t>
    </rPh>
    <phoneticPr fontId="3"/>
  </si>
  <si>
    <t>発注期間</t>
    <rPh sb="0" eb="2">
      <t>ハッチュウ</t>
    </rPh>
    <rPh sb="2" eb="4">
      <t>キカン</t>
    </rPh>
    <phoneticPr fontId="3"/>
  </si>
  <si>
    <t>開発場所</t>
    <rPh sb="0" eb="4">
      <t>カイハツバショ</t>
    </rPh>
    <phoneticPr fontId="3"/>
  </si>
  <si>
    <t>BIP SYSTEMS Vitenam社内</t>
    <rPh sb="19" eb="21">
      <t>シャナイ</t>
    </rPh>
    <phoneticPr fontId="3"/>
  </si>
  <si>
    <t>単価</t>
    <rPh sb="0" eb="2">
      <t>タンカ</t>
    </rPh>
    <phoneticPr fontId="3"/>
  </si>
  <si>
    <t>PG/テスター</t>
    <phoneticPr fontId="3"/>
  </si>
  <si>
    <t>定義</t>
    <rPh sb="0" eb="2">
      <t>テイギ</t>
    </rPh>
    <phoneticPr fontId="3"/>
  </si>
  <si>
    <t>ソフトウェア開発業務に0~2年以上従事した経験があり、要求業務を実行できる。</t>
    <rPh sb="6" eb="8">
      <t>カイハツ</t>
    </rPh>
    <rPh sb="8" eb="10">
      <t>ギョウム</t>
    </rPh>
    <rPh sb="14" eb="17">
      <t>ネンイジョウ</t>
    </rPh>
    <rPh sb="17" eb="19">
      <t>ジュウジ</t>
    </rPh>
    <rPh sb="21" eb="23">
      <t>ケイケン</t>
    </rPh>
    <rPh sb="27" eb="31">
      <t>ヨウキュウギョウム</t>
    </rPh>
    <rPh sb="32" eb="34">
      <t>ジッコウ</t>
    </rPh>
    <phoneticPr fontId="3"/>
  </si>
  <si>
    <t>単金</t>
    <rPh sb="0" eb="2">
      <t>タンキン</t>
    </rPh>
    <phoneticPr fontId="3"/>
  </si>
  <si>
    <t>25万円/人月</t>
    <rPh sb="2" eb="4">
      <t>マンエン</t>
    </rPh>
    <rPh sb="5" eb="7">
      <t>ニンゲツ</t>
    </rPh>
    <phoneticPr fontId="3"/>
  </si>
  <si>
    <t>SE</t>
    <phoneticPr fontId="3"/>
  </si>
  <si>
    <t>要件</t>
    <rPh sb="0" eb="2">
      <t>ヨウケン</t>
    </rPh>
    <phoneticPr fontId="3"/>
  </si>
  <si>
    <t>ソフトウェア開発業務に2年以上従事した経験があり、相応の実力が認められる。</t>
    <rPh sb="6" eb="8">
      <t>カイハツ</t>
    </rPh>
    <rPh sb="8" eb="10">
      <t>ギョウム</t>
    </rPh>
    <rPh sb="12" eb="15">
      <t>ネンイジョウ</t>
    </rPh>
    <rPh sb="15" eb="17">
      <t>ジュウジ</t>
    </rPh>
    <rPh sb="19" eb="21">
      <t>ケイケン</t>
    </rPh>
    <rPh sb="25" eb="27">
      <t>ソウオウ</t>
    </rPh>
    <rPh sb="28" eb="30">
      <t>ジツリョク</t>
    </rPh>
    <rPh sb="31" eb="32">
      <t>ミト</t>
    </rPh>
    <phoneticPr fontId="3"/>
  </si>
  <si>
    <t>30.0万円/人月</t>
    <rPh sb="4" eb="6">
      <t>マンエン</t>
    </rPh>
    <rPh sb="7" eb="9">
      <t>ニンゲツ</t>
    </rPh>
    <phoneticPr fontId="3"/>
  </si>
  <si>
    <t>PL</t>
    <phoneticPr fontId="3"/>
  </si>
  <si>
    <t>ソフトウェア開発業務に3年以上従事した経験があり、かつプロジェクトリーダーとして十分な能力が認められるもの</t>
    <rPh sb="6" eb="8">
      <t>カイハツ</t>
    </rPh>
    <rPh sb="8" eb="10">
      <t>ギョウム</t>
    </rPh>
    <rPh sb="12" eb="15">
      <t>ネンイジョウ</t>
    </rPh>
    <rPh sb="15" eb="17">
      <t>ジュウジ</t>
    </rPh>
    <rPh sb="19" eb="21">
      <t>ケイケン</t>
    </rPh>
    <rPh sb="40" eb="42">
      <t>ジュウブン</t>
    </rPh>
    <rPh sb="43" eb="45">
      <t>ノウリョク</t>
    </rPh>
    <rPh sb="46" eb="47">
      <t>ミト</t>
    </rPh>
    <phoneticPr fontId="3"/>
  </si>
  <si>
    <t>43万円/人月</t>
    <rPh sb="2" eb="4">
      <t>マンエン</t>
    </rPh>
    <rPh sb="5" eb="7">
      <t>ニンゲツ</t>
    </rPh>
    <phoneticPr fontId="3"/>
  </si>
  <si>
    <t>通訳として、PM,PLを補佐しプロジェクト管理支援を行う</t>
    <rPh sb="0" eb="2">
      <t>ツウヤク</t>
    </rPh>
    <rPh sb="12" eb="14">
      <t>ホサ</t>
    </rPh>
    <rPh sb="21" eb="23">
      <t>カンリ</t>
    </rPh>
    <rPh sb="23" eb="25">
      <t>シエン</t>
    </rPh>
    <rPh sb="26" eb="27">
      <t>オコナ</t>
    </rPh>
    <phoneticPr fontId="3"/>
  </si>
  <si>
    <t>30万円/人月(2,700USD)</t>
    <rPh sb="2" eb="4">
      <t>マンエン</t>
    </rPh>
    <rPh sb="5" eb="7">
      <t>ニンゲツ</t>
    </rPh>
    <phoneticPr fontId="3"/>
  </si>
  <si>
    <t>60万円/人月</t>
    <rPh sb="2" eb="4">
      <t>マンエン</t>
    </rPh>
    <rPh sb="5" eb="7">
      <t>ニンゲツ</t>
    </rPh>
    <phoneticPr fontId="3"/>
  </si>
  <si>
    <t>為替基準</t>
    <rPh sb="0" eb="2">
      <t>カワセ</t>
    </rPh>
    <rPh sb="2" eb="4">
      <t>キジュン</t>
    </rPh>
    <phoneticPr fontId="3"/>
  </si>
  <si>
    <t>1USD=130円</t>
    <rPh sb="8" eb="9">
      <t>エン</t>
    </rPh>
    <phoneticPr fontId="3"/>
  </si>
  <si>
    <t>支払通貨</t>
    <rPh sb="0" eb="2">
      <t>シハラ</t>
    </rPh>
    <rPh sb="2" eb="4">
      <t>ツウカ</t>
    </rPh>
    <phoneticPr fontId="3"/>
  </si>
  <si>
    <t>日本円</t>
    <rPh sb="0" eb="3">
      <t>ニホンエン</t>
    </rPh>
    <phoneticPr fontId="3"/>
  </si>
  <si>
    <t>日本人PM</t>
    <rPh sb="0" eb="3">
      <t>ニホンジン</t>
    </rPh>
    <phoneticPr fontId="3"/>
  </si>
  <si>
    <t>柏木武志</t>
    <rPh sb="0" eb="2">
      <t>カシワギ</t>
    </rPh>
    <rPh sb="2" eb="3">
      <t>タケシ</t>
    </rPh>
    <rPh sb="3" eb="4">
      <t>ココロザシ</t>
    </rPh>
    <phoneticPr fontId="3"/>
  </si>
  <si>
    <t>Kieu Bao Long</t>
    <phoneticPr fontId="3"/>
  </si>
  <si>
    <t>Nguyen Minh Vu</t>
    <phoneticPr fontId="3"/>
  </si>
  <si>
    <t>Bui Thi Thom</t>
    <phoneticPr fontId="3"/>
  </si>
  <si>
    <t>Ngyurn Thanh Minh</t>
    <phoneticPr fontId="3"/>
  </si>
  <si>
    <t>Ngyuen Thanh Trung</t>
    <phoneticPr fontId="3"/>
  </si>
  <si>
    <t>Pham Long Quan</t>
    <phoneticPr fontId="3"/>
  </si>
  <si>
    <t>Do Tuan Thanh</t>
    <phoneticPr fontId="3"/>
  </si>
  <si>
    <t>Bui Hong Khnah</t>
    <phoneticPr fontId="3"/>
  </si>
  <si>
    <t>報告頻度</t>
    <rPh sb="0" eb="2">
      <t>ホウコク</t>
    </rPh>
    <rPh sb="2" eb="4">
      <t>ヒンド</t>
    </rPh>
    <phoneticPr fontId="3"/>
  </si>
  <si>
    <t>備考</t>
    <rPh sb="0" eb="2">
      <t>ビコウ</t>
    </rPh>
    <phoneticPr fontId="3"/>
  </si>
  <si>
    <t>1.  単金については毎年1月に見直す
2.  乙の指定要員に変更がある場合は、乙は甲に速やかに、その旨を通知する</t>
    <rPh sb="4" eb="6">
      <t>タンキン</t>
    </rPh>
    <rPh sb="11" eb="13">
      <t>マイトシ</t>
    </rPh>
    <rPh sb="14" eb="15">
      <t>ガツ</t>
    </rPh>
    <rPh sb="16" eb="18">
      <t>ミナオ</t>
    </rPh>
    <rPh sb="24" eb="25">
      <t>オツ</t>
    </rPh>
    <rPh sb="26" eb="28">
      <t>シテイ</t>
    </rPh>
    <rPh sb="28" eb="30">
      <t>ヨウイン</t>
    </rPh>
    <rPh sb="31" eb="33">
      <t>ヘンコウ</t>
    </rPh>
    <rPh sb="36" eb="38">
      <t>バアイ</t>
    </rPh>
    <rPh sb="40" eb="41">
      <t>オツ</t>
    </rPh>
    <rPh sb="42" eb="43">
      <t>コウ</t>
    </rPh>
    <rPh sb="44" eb="45">
      <t>スミ</t>
    </rPh>
    <rPh sb="51" eb="52">
      <t>ムネ</t>
    </rPh>
    <rPh sb="53" eb="55">
      <t>ツウチ</t>
    </rPh>
    <phoneticPr fontId="3"/>
  </si>
  <si>
    <t>ビップシステムズ株式会社殿</t>
    <rPh sb="12" eb="13">
      <t>トノ</t>
    </rPh>
    <phoneticPr fontId="9"/>
  </si>
  <si>
    <t>記</t>
    <rPh sb="0" eb="1">
      <t>キ</t>
    </rPh>
    <phoneticPr fontId="9"/>
  </si>
  <si>
    <t>要員名</t>
    <rPh sb="0" eb="2">
      <t>ヨウイン</t>
    </rPh>
    <rPh sb="2" eb="3">
      <t>メイ</t>
    </rPh>
    <phoneticPr fontId="3"/>
  </si>
  <si>
    <t>Takeshi Kashiwagi</t>
    <phoneticPr fontId="3"/>
  </si>
  <si>
    <t>BIP SYSTEMS VIETBAM CO.,LTD</t>
    <phoneticPr fontId="3"/>
  </si>
  <si>
    <t>　　下記のとおり実施しましたので報告致します．</t>
    <rPh sb="2" eb="4">
      <t>カキ</t>
    </rPh>
    <rPh sb="8" eb="10">
      <t>ジッシ</t>
    </rPh>
    <rPh sb="16" eb="18">
      <t>ホウコク</t>
    </rPh>
    <rPh sb="18" eb="19">
      <t>イタ</t>
    </rPh>
    <phoneticPr fontId="9"/>
  </si>
  <si>
    <t>報告期間</t>
    <rPh sb="0" eb="4">
      <t>ホウコクキカン</t>
    </rPh>
    <phoneticPr fontId="3"/>
  </si>
  <si>
    <t>作業報告書及びご請求金額</t>
    <rPh sb="0" eb="2">
      <t>サギョウ</t>
    </rPh>
    <rPh sb="2" eb="5">
      <t>ホウコクショ</t>
    </rPh>
    <rPh sb="5" eb="6">
      <t>オヨ</t>
    </rPh>
    <rPh sb="8" eb="12">
      <t>セイキュウキンガク</t>
    </rPh>
    <phoneticPr fontId="3"/>
  </si>
  <si>
    <t>(単位：円・時間)</t>
    <rPh sb="1" eb="3">
      <t>タンイ</t>
    </rPh>
    <rPh sb="4" eb="5">
      <t>エン</t>
    </rPh>
    <rPh sb="6" eb="8">
      <t>ジカン</t>
    </rPh>
    <phoneticPr fontId="9"/>
  </si>
  <si>
    <t>ランク</t>
    <phoneticPr fontId="9"/>
  </si>
  <si>
    <t>区分</t>
    <rPh sb="0" eb="2">
      <t>クブン</t>
    </rPh>
    <phoneticPr fontId="3"/>
  </si>
  <si>
    <t>契約単金(上段：月額、下段：時間単価）</t>
    <rPh sb="0" eb="4">
      <t>ケイヤクタンキン</t>
    </rPh>
    <rPh sb="5" eb="7">
      <t>ジョウダン</t>
    </rPh>
    <rPh sb="8" eb="10">
      <t>ゲツガク</t>
    </rPh>
    <rPh sb="11" eb="13">
      <t>ゲダン</t>
    </rPh>
    <rPh sb="14" eb="16">
      <t>ジカン</t>
    </rPh>
    <rPh sb="16" eb="18">
      <t>タンカ</t>
    </rPh>
    <phoneticPr fontId="3"/>
  </si>
  <si>
    <t>時間外稼働</t>
    <rPh sb="0" eb="3">
      <t>ジカンガイ</t>
    </rPh>
    <rPh sb="3" eb="5">
      <t>カドウ</t>
    </rPh>
    <phoneticPr fontId="3"/>
  </si>
  <si>
    <t>業務内容</t>
    <rPh sb="0" eb="4">
      <t>ギョウムナイヨウ</t>
    </rPh>
    <phoneticPr fontId="3"/>
  </si>
  <si>
    <t>　計</t>
    <rPh sb="1" eb="2">
      <t>ケイ</t>
    </rPh>
    <phoneticPr fontId="9"/>
  </si>
  <si>
    <t>JPM</t>
    <phoneticPr fontId="9"/>
  </si>
  <si>
    <t>月額単金</t>
    <rPh sb="0" eb="2">
      <t>ゲツガク</t>
    </rPh>
    <rPh sb="2" eb="4">
      <t>タンキン</t>
    </rPh>
    <phoneticPr fontId="3"/>
  </si>
  <si>
    <t>普通残業</t>
    <rPh sb="0" eb="2">
      <t>フツウ</t>
    </rPh>
    <rPh sb="2" eb="4">
      <t>ザンギョウ</t>
    </rPh>
    <phoneticPr fontId="3"/>
  </si>
  <si>
    <t>PL</t>
    <phoneticPr fontId="9"/>
  </si>
  <si>
    <t>小　　　　　　　　　　　　　計</t>
    <rPh sb="0" eb="15">
      <t>ショウケイ</t>
    </rPh>
    <phoneticPr fontId="9"/>
  </si>
  <si>
    <t>その他ご請求経費</t>
    <rPh sb="2" eb="3">
      <t>タ</t>
    </rPh>
    <rPh sb="4" eb="8">
      <t>セイキュウケイヒ</t>
    </rPh>
    <phoneticPr fontId="9"/>
  </si>
  <si>
    <t>合　　計　　請　　求　　額</t>
    <rPh sb="0" eb="4">
      <t>ゴウケイ</t>
    </rPh>
    <rPh sb="6" eb="10">
      <t>セイキュウ</t>
    </rPh>
    <rPh sb="12" eb="13">
      <t>ガク</t>
    </rPh>
    <phoneticPr fontId="9"/>
  </si>
  <si>
    <t>BIP SYSTEMS VIETNAM CO., LTD</t>
    <phoneticPr fontId="9"/>
  </si>
  <si>
    <t>Room No 403, DMC Tower 535 Kim Ma Str., Ba Dinh Dist Hanoi</t>
    <phoneticPr fontId="9"/>
  </si>
  <si>
    <t>Invoice No.</t>
    <phoneticPr fontId="9"/>
  </si>
  <si>
    <t>TEL:++84-4-3771-3682, FAX:++84-4-3771-3685</t>
    <phoneticPr fontId="9"/>
  </si>
  <si>
    <t>Date</t>
    <phoneticPr fontId="9"/>
  </si>
  <si>
    <t>REMIT TO:</t>
    <phoneticPr fontId="9"/>
  </si>
  <si>
    <t>WIRE TO:</t>
    <phoneticPr fontId="9"/>
  </si>
  <si>
    <t>BIP SYSTEMS VIETNAM CO.,LTD</t>
    <phoneticPr fontId="9"/>
  </si>
  <si>
    <t>Name:</t>
    <phoneticPr fontId="9"/>
  </si>
  <si>
    <t>Room No 403, DMC Tower, 535 Kim Ma Str., Ba Dinh Dist Hanoi</t>
    <phoneticPr fontId="9"/>
  </si>
  <si>
    <t>Bank:</t>
    <phoneticPr fontId="9"/>
  </si>
  <si>
    <t>Sumitomo Mitsui Banking Corporation</t>
    <phoneticPr fontId="9"/>
  </si>
  <si>
    <t>Address:</t>
    <phoneticPr fontId="9"/>
  </si>
  <si>
    <t xml:space="preserve">Unit 1201, 12Fl, Lotte Centre
54 Lieu Giai Str., Ba Dinh, Hanoi , Vietnam  
</t>
  </si>
  <si>
    <t>A/C</t>
    <phoneticPr fontId="9"/>
  </si>
  <si>
    <t>1000747-2(JPY)</t>
    <phoneticPr fontId="9"/>
  </si>
  <si>
    <t>SOLD TO:</t>
    <phoneticPr fontId="9"/>
  </si>
  <si>
    <t>BIP SYSTEMS CORPORATION</t>
    <phoneticPr fontId="9"/>
  </si>
  <si>
    <t>3rd FL., BIEN QUAD, 9-1 SAKURAGAOKA-CHO, SHIBUYA, TOKYO, JAPAN</t>
    <phoneticPr fontId="9"/>
  </si>
  <si>
    <t>ATTN:</t>
    <phoneticPr fontId="9"/>
  </si>
  <si>
    <t>DESCRIPTION</t>
  </si>
  <si>
    <t>AMOUNT</t>
    <phoneticPr fontId="9"/>
  </si>
  <si>
    <t xml:space="preserve">AMOUNT TO BE PAID </t>
    <phoneticPr fontId="9"/>
  </si>
  <si>
    <t>BIP SYSTEMS Vietnam Co.,Ltd</t>
    <phoneticPr fontId="9"/>
  </si>
  <si>
    <t>Director</t>
    <phoneticPr fontId="3"/>
  </si>
  <si>
    <t>Takeshi Kashiwagi</t>
    <phoneticPr fontId="9"/>
  </si>
  <si>
    <t>Hoang Thi Hien</t>
    <phoneticPr fontId="3"/>
  </si>
  <si>
    <t>CM</t>
    <phoneticPr fontId="3"/>
  </si>
  <si>
    <t>SE</t>
    <phoneticPr fontId="3"/>
  </si>
  <si>
    <t>コミュニケータ（CM)</t>
    <phoneticPr fontId="3"/>
  </si>
  <si>
    <t>PM</t>
    <phoneticPr fontId="3"/>
  </si>
  <si>
    <t>ソフトウェア開発経験年数5年以上及びプロジェクトリーダとして3年以上、さらにマネジメント経験が3年以上。</t>
    <rPh sb="6" eb="8">
      <t>カイハツ</t>
    </rPh>
    <rPh sb="8" eb="12">
      <t>ケイケンネンスウ</t>
    </rPh>
    <rPh sb="13" eb="14">
      <t>ネン</t>
    </rPh>
    <rPh sb="14" eb="16">
      <t>イジョウ</t>
    </rPh>
    <rPh sb="16" eb="17">
      <t>オヨ</t>
    </rPh>
    <rPh sb="31" eb="32">
      <t>ネン</t>
    </rPh>
    <rPh sb="32" eb="34">
      <t>イジョウ</t>
    </rPh>
    <rPh sb="44" eb="46">
      <t>ケイケン</t>
    </rPh>
    <rPh sb="48" eb="49">
      <t>ネン</t>
    </rPh>
    <rPh sb="49" eb="51">
      <t>イジョウ</t>
    </rPh>
    <phoneticPr fontId="3"/>
  </si>
  <si>
    <t>Nguyen Minh Vu</t>
    <phoneticPr fontId="3"/>
  </si>
  <si>
    <t>Do Tuan Thanh</t>
    <phoneticPr fontId="3"/>
  </si>
  <si>
    <t>Tran Tuan Long</t>
    <phoneticPr fontId="3"/>
  </si>
  <si>
    <t>Nguyen Hai Anh</t>
    <phoneticPr fontId="3"/>
  </si>
  <si>
    <t>PG</t>
    <phoneticPr fontId="3"/>
  </si>
  <si>
    <t>Software Development Jan 2024</t>
    <phoneticPr fontId="3"/>
  </si>
  <si>
    <t>Software Development Feb 2024</t>
    <phoneticPr fontId="3"/>
  </si>
  <si>
    <t>Software Development Mar 2024</t>
    <phoneticPr fontId="3"/>
  </si>
  <si>
    <t>Software Development Apr 2024</t>
    <phoneticPr fontId="3"/>
  </si>
  <si>
    <t>Hoang Quang Linh</t>
    <phoneticPr fontId="3"/>
  </si>
  <si>
    <t xml:space="preserve">Add new function to Koken System </t>
  </si>
  <si>
    <t>CiMA project</t>
    <phoneticPr fontId="3"/>
  </si>
  <si>
    <t>Project Name</t>
    <phoneticPr fontId="3"/>
  </si>
  <si>
    <t>Assigned</t>
    <phoneticPr fontId="3"/>
  </si>
  <si>
    <t>Term</t>
    <phoneticPr fontId="3"/>
  </si>
  <si>
    <t>Start</t>
    <phoneticPr fontId="3"/>
  </si>
  <si>
    <t>End</t>
    <phoneticPr fontId="3"/>
  </si>
  <si>
    <t>Note</t>
    <phoneticPr fontId="3"/>
  </si>
  <si>
    <t>LongTT</t>
    <phoneticPr fontId="3"/>
  </si>
  <si>
    <t>Hien</t>
    <phoneticPr fontId="3"/>
  </si>
  <si>
    <t>TrungNT</t>
    <phoneticPr fontId="3"/>
  </si>
  <si>
    <t>docomo data handling system</t>
    <phoneticPr fontId="3"/>
  </si>
  <si>
    <t>(JPY)</t>
    <phoneticPr fontId="3"/>
  </si>
  <si>
    <t>ThomBT</t>
    <phoneticPr fontId="3"/>
  </si>
  <si>
    <t>LongKB</t>
    <phoneticPr fontId="3"/>
  </si>
  <si>
    <t>FSVM system development</t>
    <phoneticPr fontId="3"/>
  </si>
  <si>
    <t>RSS development</t>
    <phoneticPr fontId="3"/>
  </si>
  <si>
    <t>MinhNT</t>
    <phoneticPr fontId="3"/>
  </si>
  <si>
    <t>VuNM</t>
    <phoneticPr fontId="3"/>
  </si>
  <si>
    <t>ThanhDT</t>
    <phoneticPr fontId="3"/>
  </si>
  <si>
    <t>LinhHQ</t>
    <phoneticPr fontId="3"/>
  </si>
  <si>
    <t>KhanhBH</t>
    <phoneticPr fontId="3"/>
  </si>
  <si>
    <t>HaiAnh</t>
    <phoneticPr fontId="3"/>
  </si>
  <si>
    <t>(total)</t>
    <phoneticPr fontId="3"/>
  </si>
  <si>
    <t>Project outline</t>
    <phoneticPr fontId="3"/>
  </si>
  <si>
    <t>Develop chat functionality to FSVM system.</t>
    <phoneticPr fontId="3"/>
  </si>
  <si>
    <t>Add new functionalities to Koken system.</t>
    <phoneticPr fontId="3"/>
  </si>
  <si>
    <t>Check the impact for RSS system for upgrading the software version and maintain the program.</t>
    <phoneticPr fontId="3"/>
  </si>
  <si>
    <t>Tran Minh Hang</t>
    <phoneticPr fontId="3"/>
  </si>
  <si>
    <t>Luu Thi Hai Yen</t>
    <phoneticPr fontId="3"/>
  </si>
  <si>
    <t>PS_PM</t>
    <phoneticPr fontId="3"/>
  </si>
  <si>
    <t>PS_PL</t>
    <phoneticPr fontId="3"/>
  </si>
  <si>
    <t>Do Huu Tuan</t>
    <phoneticPr fontId="3"/>
  </si>
  <si>
    <t>PS_SE</t>
    <phoneticPr fontId="3"/>
  </si>
  <si>
    <t>Nguyen Anh Tuan</t>
    <phoneticPr fontId="3"/>
  </si>
  <si>
    <t>PS_PG</t>
    <phoneticPr fontId="3"/>
  </si>
  <si>
    <t>Pham Van Dat(2024/9/1入社)</t>
    <rPh sb="21" eb="23">
      <t>ニュウシャ</t>
    </rPh>
    <phoneticPr fontId="3"/>
  </si>
  <si>
    <t>Nguyen Tien Dung(2024/9/1入社)</t>
    <phoneticPr fontId="3"/>
  </si>
  <si>
    <t>Nguyen Tien Trung(2024/9/1入社)</t>
    <phoneticPr fontId="3"/>
  </si>
  <si>
    <t>Nguyen Anh Tuan(2024/9/1入社)</t>
    <phoneticPr fontId="3"/>
  </si>
  <si>
    <t>Nguyen Tien Dung</t>
    <phoneticPr fontId="3"/>
  </si>
  <si>
    <t>PS_PM</t>
    <phoneticPr fontId="9"/>
  </si>
  <si>
    <t>PS_GM</t>
    <phoneticPr fontId="9"/>
  </si>
  <si>
    <t>PS_PL</t>
    <phoneticPr fontId="9"/>
  </si>
  <si>
    <t>Ngyuen Tien Trung</t>
    <phoneticPr fontId="3"/>
  </si>
  <si>
    <t>Pham Van Dat</t>
    <phoneticPr fontId="3"/>
  </si>
  <si>
    <t>SFDC-WOWOW</t>
    <phoneticPr fontId="3"/>
  </si>
  <si>
    <t>mieten R&amp;D</t>
    <phoneticPr fontId="3"/>
  </si>
  <si>
    <t>Research and make prototype for adding new functionalities to mieten(security software)</t>
    <phoneticPr fontId="3"/>
  </si>
  <si>
    <t>LongTT</t>
  </si>
  <si>
    <t>HienHT</t>
  </si>
  <si>
    <t>TrungNT</t>
  </si>
  <si>
    <t>(total)</t>
  </si>
  <si>
    <t>mieten Step2</t>
    <phoneticPr fontId="3"/>
  </si>
  <si>
    <t>Add new functions which will be fixed in mieten R&amp;D</t>
    <phoneticPr fontId="3"/>
  </si>
  <si>
    <t>Amount
(billing amount on Jan/2025)</t>
    <phoneticPr fontId="3"/>
  </si>
  <si>
    <t>TuanDH</t>
    <phoneticPr fontId="3"/>
  </si>
  <si>
    <t>DungNT</t>
    <phoneticPr fontId="3"/>
  </si>
  <si>
    <t>SFDC-NGB</t>
    <phoneticPr fontId="3"/>
  </si>
  <si>
    <t>Make data integration between new CRM system(SalesForce) and current CRM system(Wism/Logica).</t>
    <phoneticPr fontId="3"/>
  </si>
  <si>
    <t>DatPV</t>
    <phoneticPr fontId="3"/>
  </si>
  <si>
    <t xml:space="preserve">Build Call-Center system for banking company </t>
    <phoneticPr fontId="3"/>
  </si>
  <si>
    <t>TuanNA</t>
    <phoneticPr fontId="3"/>
  </si>
  <si>
    <t>Add new functionality(message sending/managing system to docomo remote support syystem.</t>
    <phoneticPr fontId="3"/>
  </si>
  <si>
    <t>docomo message system development</t>
    <phoneticPr fontId="3"/>
  </si>
  <si>
    <t>Duc Nguyen</t>
    <phoneticPr fontId="3"/>
  </si>
  <si>
    <t>TruongNX</t>
    <phoneticPr fontId="3"/>
  </si>
  <si>
    <t xml:space="preserve">VAC </t>
    <phoneticPr fontId="3"/>
  </si>
  <si>
    <t>YenLTH</t>
    <phoneticPr fontId="3"/>
  </si>
  <si>
    <t>Nguyen Tuan Anh(2024/9/17入社)</t>
    <rPh sb="25" eb="27">
      <t>ニュウシャ</t>
    </rPh>
    <phoneticPr fontId="3"/>
  </si>
  <si>
    <t>HangTM</t>
    <phoneticPr fontId="3"/>
  </si>
  <si>
    <t>Total</t>
    <phoneticPr fontId="3"/>
  </si>
  <si>
    <t>BIP Japan internal system</t>
    <phoneticPr fontId="3"/>
  </si>
  <si>
    <t>Develop the HR system</t>
    <phoneticPr fontId="3"/>
  </si>
  <si>
    <t>QuanPL</t>
    <phoneticPr fontId="3"/>
  </si>
  <si>
    <t>Project Management</t>
    <phoneticPr fontId="3"/>
  </si>
  <si>
    <t>Manage 'docomo message system development', VAC,RSS development</t>
    <phoneticPr fontId="3"/>
  </si>
  <si>
    <t>Kashiwagi</t>
    <phoneticPr fontId="3"/>
  </si>
  <si>
    <t>Amount = 600,000 x 4 months</t>
    <phoneticPr fontId="3"/>
  </si>
  <si>
    <t>DucTA</t>
    <phoneticPr fontId="3"/>
  </si>
  <si>
    <t>Hoang Thi Ngoc Dung (2024/11/4入社)</t>
    <rPh sb="30" eb="32">
      <t>ニュウシャ</t>
    </rPh>
    <phoneticPr fontId="3"/>
  </si>
  <si>
    <t>Nguyen Mnh Quang (2024/12/1入社)</t>
    <rPh sb="27" eb="29">
      <t>ニュウシャ</t>
    </rPh>
    <phoneticPr fontId="3"/>
  </si>
  <si>
    <t>QuanNM</t>
    <phoneticPr fontId="3"/>
  </si>
  <si>
    <t>ChiLNQ</t>
    <phoneticPr fontId="3"/>
  </si>
  <si>
    <t>Add new functionality(get user support data) to docomo remote support system.</t>
    <phoneticPr fontId="3"/>
  </si>
  <si>
    <t>Transfer the development tasks from another company.</t>
    <phoneticPr fontId="3"/>
  </si>
  <si>
    <t>Bùi Hồng Khánh</t>
  </si>
  <si>
    <t>Kiều Bảo Long</t>
  </si>
  <si>
    <t>Nguyễn Thành Trung</t>
  </si>
  <si>
    <t>Nguyễn Thượng Minh</t>
  </si>
  <si>
    <t>Bùi Thị Thơm</t>
  </si>
  <si>
    <t>Nguyễn Minh Vũ</t>
  </si>
  <si>
    <t>Phạm Long Quân</t>
  </si>
  <si>
    <t>Đỗ Tuấn Thành</t>
  </si>
  <si>
    <t>Nguyễn Hải Anh</t>
  </si>
  <si>
    <t>Trần Tuấn Long</t>
  </si>
  <si>
    <t>Hoàng Quang Linh</t>
  </si>
  <si>
    <t>Trần Minh Hằng</t>
  </si>
  <si>
    <t>Lưu Thị Hải Yến</t>
  </si>
  <si>
    <t>Nguyễn Tiến Dũng</t>
  </si>
  <si>
    <t>Nguyễn Tiến Trung</t>
  </si>
  <si>
    <t>Nguyễn Anh Tuấn</t>
  </si>
  <si>
    <t>Phạm Văn Đạt</t>
  </si>
  <si>
    <t>Nguyễn Tuấn Anh</t>
  </si>
  <si>
    <t>Đỗ Hữu Tuấn</t>
  </si>
  <si>
    <t>Lai Nguyệt Quế Chi</t>
  </si>
  <si>
    <t>Nguyễn Xuân Trường</t>
  </si>
  <si>
    <t>Nguyễn Anh Đức</t>
  </si>
  <si>
    <t>Trần Anh Đức</t>
  </si>
  <si>
    <t>Hoàng Thị Ngọc Dung</t>
  </si>
  <si>
    <t>Do the test of docomo applications.</t>
    <phoneticPr fontId="3"/>
  </si>
  <si>
    <t>AnhNT</t>
    <phoneticPr fontId="3"/>
  </si>
  <si>
    <t>DungHTN</t>
    <phoneticPr fontId="3"/>
  </si>
  <si>
    <t>Sub Total</t>
    <phoneticPr fontId="3"/>
  </si>
  <si>
    <t>✓</t>
    <phoneticPr fontId="3"/>
  </si>
  <si>
    <t>Quang(12/1 PS入社)</t>
    <rPh sb="13" eb="15">
      <t>ニュウシャ</t>
    </rPh>
    <phoneticPr fontId="3"/>
  </si>
  <si>
    <t>請求書の額に一致</t>
    <rPh sb="0" eb="3">
      <t>セイキュウショ</t>
    </rPh>
    <rPh sb="4" eb="5">
      <t>ガク</t>
    </rPh>
    <rPh sb="6" eb="8">
      <t>イッチ</t>
    </rPh>
    <phoneticPr fontId="3"/>
  </si>
  <si>
    <t>Nguyen Tuan Anh</t>
    <phoneticPr fontId="3"/>
  </si>
  <si>
    <t>Lai Nguyen Que Chi</t>
    <phoneticPr fontId="3"/>
  </si>
  <si>
    <t>Nguyen Xuan Truong</t>
    <phoneticPr fontId="3"/>
  </si>
  <si>
    <t>Nguyen Anh Duc</t>
    <phoneticPr fontId="3"/>
  </si>
  <si>
    <t>Tran Anh Duc</t>
    <phoneticPr fontId="3"/>
  </si>
  <si>
    <t>Hoang Thi Ngoc Dung</t>
    <phoneticPr fontId="3"/>
  </si>
  <si>
    <t>TX様ODC契約内プロジェクト、RSS東西、VACのプロジェクトマネジメント</t>
    <rPh sb="2" eb="3">
      <t>サマ</t>
    </rPh>
    <rPh sb="6" eb="9">
      <t>ケイヤクナイ</t>
    </rPh>
    <rPh sb="19" eb="21">
      <t>トウザイ</t>
    </rPh>
    <phoneticPr fontId="3"/>
  </si>
  <si>
    <t>音声マイニングシステム機能追加とプロジェクトマネジメント</t>
    <rPh sb="0" eb="2">
      <t>オンセイ</t>
    </rPh>
    <rPh sb="11" eb="15">
      <t>キノウツイカ</t>
    </rPh>
    <phoneticPr fontId="3"/>
  </si>
  <si>
    <t>mietenプロジェクトリーダ、CiMAプロジェクトマネジメント</t>
    <phoneticPr fontId="3"/>
  </si>
  <si>
    <t>音声マイニングシステム機能追加</t>
    <rPh sb="0" eb="2">
      <t>オンセイ</t>
    </rPh>
    <rPh sb="11" eb="15">
      <t>キノウツイカ</t>
    </rPh>
    <phoneticPr fontId="3"/>
  </si>
  <si>
    <t>ドコモ通知機能開発</t>
    <rPh sb="3" eb="5">
      <t>ツウチ</t>
    </rPh>
    <rPh sb="5" eb="7">
      <t>キノウ</t>
    </rPh>
    <rPh sb="7" eb="9">
      <t>カイハツ</t>
    </rPh>
    <phoneticPr fontId="3"/>
  </si>
  <si>
    <t>VACシステム開発</t>
    <rPh sb="7" eb="9">
      <t>カイハツ</t>
    </rPh>
    <phoneticPr fontId="3"/>
  </si>
  <si>
    <t>RSS東西システム更改開発</t>
    <rPh sb="3" eb="5">
      <t>トウザイ</t>
    </rPh>
    <rPh sb="9" eb="11">
      <t>コウカイ</t>
    </rPh>
    <rPh sb="11" eb="13">
      <t>カイハツ</t>
    </rPh>
    <phoneticPr fontId="3"/>
  </si>
  <si>
    <t>mieten機能追加</t>
    <rPh sb="6" eb="10">
      <t>キノウツイカ</t>
    </rPh>
    <phoneticPr fontId="3"/>
  </si>
  <si>
    <t>本社向け人事管理処理機能の自動化</t>
    <rPh sb="0" eb="2">
      <t>ホンシャ</t>
    </rPh>
    <rPh sb="2" eb="3">
      <t>ム</t>
    </rPh>
    <rPh sb="4" eb="6">
      <t>ジンジ</t>
    </rPh>
    <rPh sb="6" eb="8">
      <t>カンリ</t>
    </rPh>
    <rPh sb="8" eb="10">
      <t>ショリ</t>
    </rPh>
    <rPh sb="10" eb="12">
      <t>キノウ</t>
    </rPh>
    <rPh sb="13" eb="16">
      <t>ジドウカ</t>
    </rPh>
    <phoneticPr fontId="3"/>
  </si>
  <si>
    <t>興研機能追加</t>
    <rPh sb="0" eb="2">
      <t>コウケン</t>
    </rPh>
    <rPh sb="2" eb="6">
      <t>キノウツイカ</t>
    </rPh>
    <phoneticPr fontId="3"/>
  </si>
  <si>
    <t>CiMAプロジェクトUT実施</t>
    <rPh sb="12" eb="14">
      <t>ジッシ</t>
    </rPh>
    <phoneticPr fontId="3"/>
  </si>
  <si>
    <t>mieten、CiMAプロジェクトの通訳、翻訳</t>
    <rPh sb="18" eb="20">
      <t>ツウヤク</t>
    </rPh>
    <rPh sb="21" eb="23">
      <t>ホンヤク</t>
    </rPh>
    <phoneticPr fontId="3"/>
  </si>
  <si>
    <t>音声マイニングシステム、RSS東西の通訳、翻訳</t>
    <rPh sb="0" eb="2">
      <t>オンセイ</t>
    </rPh>
    <rPh sb="15" eb="17">
      <t>トウザイ</t>
    </rPh>
    <rPh sb="18" eb="20">
      <t>ツウヤク</t>
    </rPh>
    <rPh sb="21" eb="23">
      <t>ホンヤク</t>
    </rPh>
    <phoneticPr fontId="3"/>
  </si>
  <si>
    <t>SFDCの2プロジェクトでの通訳、翻訳</t>
    <rPh sb="14" eb="16">
      <t>ツウヤク</t>
    </rPh>
    <rPh sb="17" eb="19">
      <t>ホンヤク</t>
    </rPh>
    <phoneticPr fontId="3"/>
  </si>
  <si>
    <t>Ngyuen Minh Quang</t>
    <phoneticPr fontId="3"/>
  </si>
  <si>
    <t>2024年11月1日～11月30日</t>
    <rPh sb="4" eb="5">
      <t>ネン</t>
    </rPh>
    <rPh sb="7" eb="8">
      <t>ガツ</t>
    </rPh>
    <rPh sb="9" eb="10">
      <t>ニチ</t>
    </rPh>
    <rPh sb="13" eb="14">
      <t>ガツ</t>
    </rPh>
    <rPh sb="16" eb="17">
      <t>ニチ</t>
    </rPh>
    <phoneticPr fontId="3"/>
  </si>
  <si>
    <t>2024年9月1日～9月30日</t>
    <rPh sb="4" eb="5">
      <t>ネン</t>
    </rPh>
    <rPh sb="6" eb="7">
      <t>ガツ</t>
    </rPh>
    <rPh sb="8" eb="9">
      <t>ニチ</t>
    </rPh>
    <rPh sb="11" eb="12">
      <t>ガツ</t>
    </rPh>
    <rPh sb="14" eb="15">
      <t>ニチ</t>
    </rPh>
    <phoneticPr fontId="3"/>
  </si>
  <si>
    <t>2024年10月1日～10月31日</t>
    <rPh sb="4" eb="5">
      <t>ネン</t>
    </rPh>
    <rPh sb="7" eb="8">
      <t>ガツ</t>
    </rPh>
    <rPh sb="9" eb="10">
      <t>ニチ</t>
    </rPh>
    <rPh sb="13" eb="14">
      <t>ガツ</t>
    </rPh>
    <rPh sb="16" eb="17">
      <t>ニチ</t>
    </rPh>
    <phoneticPr fontId="3"/>
  </si>
  <si>
    <t>SFDC,WOWOWプロジェクトの開発PM</t>
    <rPh sb="17" eb="19">
      <t>カイハツ</t>
    </rPh>
    <phoneticPr fontId="3"/>
  </si>
  <si>
    <t>SFDCの2プロジェクト（WOWOWとNGB）でのマネジメント</t>
    <phoneticPr fontId="3"/>
  </si>
  <si>
    <t>SFDC,NGBプロジェクトの開発リーダ</t>
    <rPh sb="15" eb="17">
      <t>カイハツ</t>
    </rPh>
    <phoneticPr fontId="3"/>
  </si>
  <si>
    <t>SFDC,NGBプロジェクトの開発</t>
    <rPh sb="15" eb="17">
      <t>カイハツ</t>
    </rPh>
    <phoneticPr fontId="3"/>
  </si>
  <si>
    <t>SFDC,WOWOWプロジェクトの開発</t>
    <rPh sb="17" eb="19">
      <t>カイハツ</t>
    </rPh>
    <phoneticPr fontId="3"/>
  </si>
  <si>
    <t>2024年12月1日～12月31日</t>
    <rPh sb="4" eb="5">
      <t>ネン</t>
    </rPh>
    <rPh sb="7" eb="8">
      <t>ガツ</t>
    </rPh>
    <rPh sb="9" eb="10">
      <t>ニチ</t>
    </rPh>
    <phoneticPr fontId="3"/>
  </si>
  <si>
    <t>退職</t>
    <rPh sb="0" eb="2">
      <t>タイショク</t>
    </rPh>
    <phoneticPr fontId="3"/>
  </si>
  <si>
    <t>SFDC,WOWOWプロジェクトの開発リーダ</t>
    <rPh sb="17" eb="19">
      <t>カイハツ</t>
    </rPh>
    <phoneticPr fontId="3"/>
  </si>
  <si>
    <t>Nguyen Xuan Truong(2024/11/1入社)</t>
    <rPh sb="28" eb="30">
      <t>ニュウシャ</t>
    </rPh>
    <phoneticPr fontId="3"/>
  </si>
  <si>
    <t>Sep_24</t>
    <phoneticPr fontId="3"/>
  </si>
  <si>
    <t>Do Huu Tuan</t>
  </si>
  <si>
    <t>シート</t>
    <phoneticPr fontId="3"/>
  </si>
  <si>
    <t>氏名</t>
    <rPh sb="0" eb="2">
      <t>シメイ</t>
    </rPh>
    <phoneticPr fontId="3"/>
  </si>
  <si>
    <t>金額</t>
    <rPh sb="0" eb="2">
      <t>キンガク</t>
    </rPh>
    <phoneticPr fontId="3"/>
  </si>
  <si>
    <t>計算方法</t>
    <rPh sb="0" eb="2">
      <t>ケイサン</t>
    </rPh>
    <rPh sb="2" eb="4">
      <t>ホウホウ</t>
    </rPh>
    <phoneticPr fontId="3"/>
  </si>
  <si>
    <t>Nguyen Tuan Anh</t>
  </si>
  <si>
    <t>Oct_24</t>
    <phoneticPr fontId="3"/>
  </si>
  <si>
    <t>Lai Nguyen Que Chi</t>
  </si>
  <si>
    <t>単金470,000円×5/21（9月25日入社,稼働日数5日,9月営業日数は21日）</t>
    <rPh sb="0" eb="2">
      <t>タンキン</t>
    </rPh>
    <rPh sb="9" eb="10">
      <t>エン</t>
    </rPh>
    <rPh sb="17" eb="18">
      <t>ガツ</t>
    </rPh>
    <rPh sb="20" eb="21">
      <t>ヒ</t>
    </rPh>
    <rPh sb="21" eb="23">
      <t>ニュウシャ</t>
    </rPh>
    <rPh sb="32" eb="33">
      <t>ガツ</t>
    </rPh>
    <rPh sb="33" eb="37">
      <t>エイギョウニッスウ</t>
    </rPh>
    <rPh sb="40" eb="41">
      <t>ヒ</t>
    </rPh>
    <phoneticPr fontId="3"/>
  </si>
  <si>
    <t>単金300,000円×4/22（10月28日入社,稼働日数4日,10月営業日数は22日）</t>
    <rPh sb="0" eb="2">
      <t>タンキン</t>
    </rPh>
    <rPh sb="9" eb="10">
      <t>エン</t>
    </rPh>
    <rPh sb="18" eb="19">
      <t>ガツ</t>
    </rPh>
    <rPh sb="21" eb="22">
      <t>ヒ</t>
    </rPh>
    <rPh sb="22" eb="24">
      <t>ニュウシャ</t>
    </rPh>
    <rPh sb="34" eb="35">
      <t>ガツ</t>
    </rPh>
    <rPh sb="35" eb="39">
      <t>エイギョウニッスウ</t>
    </rPh>
    <rPh sb="42" eb="43">
      <t>ヒ</t>
    </rPh>
    <phoneticPr fontId="3"/>
  </si>
  <si>
    <t>単金250,000円×9/22（9月18日入社,稼働日数9日,9月営業日数は22日）</t>
    <rPh sb="0" eb="2">
      <t>タンキン</t>
    </rPh>
    <rPh sb="9" eb="10">
      <t>エン</t>
    </rPh>
    <rPh sb="17" eb="18">
      <t>ガツ</t>
    </rPh>
    <rPh sb="20" eb="21">
      <t>ヒ</t>
    </rPh>
    <rPh sb="21" eb="23">
      <t>ニュウシャ</t>
    </rPh>
    <rPh sb="32" eb="33">
      <t>ガツ</t>
    </rPh>
    <rPh sb="33" eb="37">
      <t>エイギョウニッスウ</t>
    </rPh>
    <rPh sb="40" eb="41">
      <t>ヒ</t>
    </rPh>
    <phoneticPr fontId="3"/>
  </si>
  <si>
    <t>Nov_24</t>
    <phoneticPr fontId="3"/>
  </si>
  <si>
    <t>残業 2,040円：2.5時間、時間あたり816円</t>
    <rPh sb="0" eb="2">
      <t>ザンギョウ</t>
    </rPh>
    <rPh sb="8" eb="9">
      <t>エン</t>
    </rPh>
    <rPh sb="13" eb="15">
      <t>ジカン</t>
    </rPh>
    <rPh sb="16" eb="18">
      <t>ジカン</t>
    </rPh>
    <rPh sb="24" eb="25">
      <t>エン</t>
    </rPh>
    <phoneticPr fontId="3"/>
  </si>
  <si>
    <t>退職に伴う日割り268,571円：単金470,000円×12/21（11月18日まで在職で稼働日数12日,11月営業日数は21日）</t>
    <rPh sb="0" eb="2">
      <t>タイショク</t>
    </rPh>
    <rPh sb="3" eb="4">
      <t>トモナ</t>
    </rPh>
    <rPh sb="5" eb="7">
      <t>ヒワ</t>
    </rPh>
    <rPh sb="15" eb="16">
      <t>エン</t>
    </rPh>
    <rPh sb="17" eb="19">
      <t>タンキン</t>
    </rPh>
    <rPh sb="26" eb="27">
      <t>エン</t>
    </rPh>
    <rPh sb="36" eb="37">
      <t>ガツ</t>
    </rPh>
    <rPh sb="39" eb="40">
      <t>ヒ</t>
    </rPh>
    <rPh sb="42" eb="44">
      <t>ザイショク</t>
    </rPh>
    <rPh sb="55" eb="56">
      <t>ガツ</t>
    </rPh>
    <rPh sb="56" eb="60">
      <t>エイギョウニッスウ</t>
    </rPh>
    <rPh sb="63" eb="64">
      <t>ヒ</t>
    </rPh>
    <phoneticPr fontId="3"/>
  </si>
  <si>
    <t>→270,611=268,571+2,040</t>
    <phoneticPr fontId="3"/>
  </si>
  <si>
    <t>Ngyuen Tien Trung</t>
  </si>
  <si>
    <t>単金300,000円に残業3.5時間分2,400円が追加</t>
    <rPh sb="0" eb="2">
      <t>タンキン</t>
    </rPh>
    <rPh sb="9" eb="10">
      <t>エン</t>
    </rPh>
    <rPh sb="11" eb="13">
      <t>ザンギョウ</t>
    </rPh>
    <rPh sb="16" eb="18">
      <t>ジカン</t>
    </rPh>
    <rPh sb="18" eb="19">
      <t>ブン</t>
    </rPh>
    <rPh sb="24" eb="25">
      <t>エン</t>
    </rPh>
    <rPh sb="26" eb="28">
      <t>ツイカ</t>
    </rPh>
    <phoneticPr fontId="3"/>
  </si>
  <si>
    <t>指定要員(請求に関連する要員27名)</t>
    <rPh sb="0" eb="2">
      <t>シテイ</t>
    </rPh>
    <rPh sb="2" eb="4">
      <t>ヨウイン</t>
    </rPh>
    <rPh sb="5" eb="7">
      <t>セイキュウ</t>
    </rPh>
    <rPh sb="8" eb="10">
      <t>カンレン</t>
    </rPh>
    <rPh sb="12" eb="14">
      <t>ヨウイン</t>
    </rPh>
    <rPh sb="16" eb="17">
      <t>メイ</t>
    </rPh>
    <phoneticPr fontId="3"/>
  </si>
  <si>
    <t>22, January, 2025</t>
    <phoneticPr fontId="3"/>
  </si>
  <si>
    <t>2025年1月1日~2025年12月31日</t>
    <rPh sb="4" eb="5">
      <t>ネン</t>
    </rPh>
    <rPh sb="6" eb="7">
      <t>ガツ</t>
    </rPh>
    <rPh sb="8" eb="9">
      <t>ニチ</t>
    </rPh>
    <rPh sb="14" eb="15">
      <t>ネン</t>
    </rPh>
    <rPh sb="17" eb="18">
      <t>ガツ</t>
    </rPh>
    <rPh sb="20" eb="21">
      <t>ニチ</t>
    </rPh>
    <phoneticPr fontId="3"/>
  </si>
  <si>
    <t>Tran Anh Duc（2024/11/4入社）</t>
    <rPh sb="22" eb="24">
      <t>ニュウシャ</t>
    </rPh>
    <phoneticPr fontId="3"/>
  </si>
  <si>
    <t>Tran Anh Duc(2024/11/1入社)</t>
    <rPh sb="22" eb="24">
      <t>ニュウシャ</t>
    </rPh>
    <phoneticPr fontId="3"/>
  </si>
  <si>
    <t>Nguyen Thi Ngoc Anh</t>
    <phoneticPr fontId="3"/>
  </si>
  <si>
    <t>Nguyen Van Duc</t>
    <phoneticPr fontId="3"/>
  </si>
  <si>
    <t>Tran Phuc Hong</t>
    <phoneticPr fontId="3"/>
  </si>
  <si>
    <t>Amount = 500,000 x 4 months x 50% activity.</t>
    <phoneticPr fontId="3"/>
  </si>
  <si>
    <t>Amount = 350,000 x 5/21(Join 24/9/2024) + 350,000 x 1 month(Oct) + 350,000 x 12/21(Left on 19/11)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</si>
</sst>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¥&quot;#,##0;&quot;¥&quot;\-#,##0"/>
    <numFmt numFmtId="165" formatCode="_ * #,##0.00_ ;_ * \-#,##0.00_ ;_ * &quot;-&quot;??_ ;_ @_ "/>
    <numFmt numFmtId="166" formatCode="_-* #,##0.00_-;\-* #,##0.00_-;_-* &quot;-&quot;??_-;_-@_-"/>
    <numFmt numFmtId="167" formatCode="&quot;稼&quot;&quot;働&quot;&quot;報&quot;&quot;告&quot;&quot;書&quot;\([$-411]yyyy&quot;年&quot;m&quot;月&quot;&quot;分&quot;\)"/>
    <numFmt numFmtId="168" formatCode="[$-411]yyyy&quot;年&quot;m&quot;月&quot;d&quot;日&quot;;@"/>
    <numFmt numFmtId="169" formatCode="\ \ \ yyyy&quot;年　　&quot;m&quot;月　 &quot;d&quot;日&quot;"/>
    <numFmt numFmtId="170" formatCode="#,##0_ ;[Red]\-#,##0\ "/>
    <numFmt numFmtId="171" formatCode="#,##0.00_ "/>
    <numFmt numFmtId="172" formatCode="&quot; &quot;#,##0.00&quot; &quot;;&quot; (&quot;#,##0.00&quot;)&quot;;&quot; -&quot;00&quot; &quot;;&quot; &quot;@&quot; &quot;"/>
    <numFmt numFmtId="173" formatCode="&quot;USD&quot;#,##0.00;\-&quot;USD&quot;#,##0.00"/>
    <numFmt numFmtId="174" formatCode="[$-409]d\-mmm\-yy;@"/>
    <numFmt numFmtId="175" formatCode="#,##0_ "/>
  </numFmts>
  <fonts count="20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0"/>
      <name val="ＭＳ Ｐゴシック"/>
      <family val="3"/>
      <charset val="128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name val="ＭＳ Ｐゴシック"/>
      <family val="3"/>
      <charset val="128"/>
    </font>
    <font>
      <b/>
      <sz val="11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8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/>
    <xf numFmtId="0" fontId="11" fillId="0" borderId="0"/>
    <xf numFmtId="165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0" fontId="11" fillId="0" borderId="0" applyNumberFormat="0" applyFont="0" applyBorder="0" applyProtection="0"/>
    <xf numFmtId="0" fontId="6" fillId="0" borderId="0">
      <alignment vertical="center"/>
    </xf>
    <xf numFmtId="0" fontId="12" fillId="0" borderId="0"/>
    <xf numFmtId="165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6" fillId="0" borderId="0">
      <alignment vertical="center"/>
    </xf>
    <xf numFmtId="166" fontId="1" fillId="0" borderId="0" applyFont="0" applyFill="0" applyBorder="0" applyAlignment="0" applyProtection="0"/>
  </cellStyleXfs>
  <cellXfs count="294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8" fillId="0" borderId="0" xfId="2" applyFont="1" applyProtection="1">
      <protection locked="0"/>
    </xf>
    <xf numFmtId="0" fontId="7" fillId="0" borderId="0" xfId="2" applyFont="1" applyAlignment="1" applyProtection="1">
      <alignment horizontal="center"/>
      <protection locked="0"/>
    </xf>
    <xf numFmtId="0" fontId="8" fillId="0" borderId="0" xfId="2" applyFont="1" applyAlignment="1">
      <alignment horizontal="right"/>
    </xf>
    <xf numFmtId="0" fontId="10" fillId="0" borderId="0" xfId="2" applyFont="1" applyProtection="1">
      <protection locked="0"/>
    </xf>
    <xf numFmtId="0" fontId="8" fillId="0" borderId="0" xfId="2" applyFont="1" applyAlignment="1" applyProtection="1">
      <alignment horizontal="right"/>
      <protection locked="0"/>
    </xf>
    <xf numFmtId="0" fontId="8" fillId="0" borderId="7" xfId="2" applyFont="1" applyBorder="1" applyAlignment="1" applyProtection="1">
      <alignment horizontal="center" vertical="center" wrapText="1"/>
      <protection locked="0"/>
    </xf>
    <xf numFmtId="0" fontId="8" fillId="0" borderId="11" xfId="2" applyFont="1" applyBorder="1" applyAlignment="1" applyProtection="1">
      <alignment horizontal="center" vertical="center"/>
      <protection locked="0"/>
    </xf>
    <xf numFmtId="0" fontId="8" fillId="0" borderId="9" xfId="2" applyFont="1" applyBorder="1" applyAlignment="1" applyProtection="1">
      <alignment horizontal="center" vertical="center"/>
      <protection locked="0"/>
    </xf>
    <xf numFmtId="0" fontId="8" fillId="0" borderId="0" xfId="2" applyFont="1" applyAlignment="1" applyProtection="1">
      <alignment horizontal="center" vertical="center" wrapText="1"/>
      <protection locked="0"/>
    </xf>
    <xf numFmtId="0" fontId="8" fillId="0" borderId="3" xfId="2" applyFont="1" applyBorder="1" applyAlignment="1" applyProtection="1">
      <alignment horizontal="center" vertical="center" wrapText="1"/>
      <protection locked="0"/>
    </xf>
    <xf numFmtId="0" fontId="8" fillId="0" borderId="8" xfId="2" applyFont="1" applyBorder="1" applyAlignment="1" applyProtection="1">
      <alignment horizontal="center" vertical="center" wrapText="1"/>
      <protection locked="0"/>
    </xf>
    <xf numFmtId="0" fontId="8" fillId="0" borderId="1" xfId="2" applyFont="1" applyBorder="1" applyAlignment="1" applyProtection="1">
      <alignment horizontal="center" vertical="center" wrapText="1"/>
      <protection locked="0"/>
    </xf>
    <xf numFmtId="0" fontId="8" fillId="0" borderId="20" xfId="2" applyFont="1" applyBorder="1" applyAlignment="1" applyProtection="1">
      <alignment horizontal="center" vertical="center" wrapText="1"/>
      <protection locked="0"/>
    </xf>
    <xf numFmtId="0" fontId="8" fillId="0" borderId="22" xfId="2" applyFont="1" applyBorder="1" applyAlignment="1" applyProtection="1">
      <alignment horizontal="center" vertical="center" wrapText="1"/>
      <protection locked="0"/>
    </xf>
    <xf numFmtId="38" fontId="8" fillId="0" borderId="0" xfId="1" applyFont="1" applyBorder="1" applyAlignment="1" applyProtection="1">
      <alignment horizontal="center" vertical="center" wrapText="1"/>
      <protection locked="0"/>
    </xf>
    <xf numFmtId="0" fontId="8" fillId="0" borderId="9" xfId="2" applyFont="1" applyBorder="1" applyAlignment="1" applyProtection="1">
      <alignment horizontal="center" vertical="center" wrapText="1"/>
      <protection locked="0"/>
    </xf>
    <xf numFmtId="0" fontId="8" fillId="0" borderId="0" xfId="2" applyFont="1" applyAlignment="1" applyProtection="1">
      <alignment horizontal="center"/>
      <protection locked="0"/>
    </xf>
    <xf numFmtId="169" fontId="8" fillId="0" borderId="0" xfId="2" applyNumberFormat="1" applyFont="1" applyProtection="1">
      <protection locked="0"/>
    </xf>
    <xf numFmtId="0" fontId="8" fillId="0" borderId="2" xfId="2" applyFont="1" applyBorder="1" applyAlignment="1" applyProtection="1">
      <alignment horizontal="center" vertical="center" wrapText="1"/>
      <protection locked="0"/>
    </xf>
    <xf numFmtId="0" fontId="8" fillId="0" borderId="0" xfId="2" applyFont="1" applyAlignment="1" applyProtection="1">
      <alignment vertical="center" wrapText="1"/>
      <protection locked="0"/>
    </xf>
    <xf numFmtId="0" fontId="6" fillId="0" borderId="0" xfId="2" applyAlignment="1" applyProtection="1">
      <alignment vertical="center" wrapText="1"/>
      <protection locked="0"/>
    </xf>
    <xf numFmtId="170" fontId="8" fillId="0" borderId="0" xfId="2" applyNumberFormat="1" applyFont="1" applyAlignment="1" applyProtection="1">
      <alignment horizontal="center"/>
      <protection locked="0"/>
    </xf>
    <xf numFmtId="0" fontId="8" fillId="0" borderId="24" xfId="2" applyFont="1" applyBorder="1" applyAlignment="1" applyProtection="1">
      <alignment horizontal="center" vertical="center" wrapText="1"/>
      <protection locked="0"/>
    </xf>
    <xf numFmtId="0" fontId="0" fillId="0" borderId="23" xfId="0" applyBorder="1">
      <alignment vertical="center"/>
    </xf>
    <xf numFmtId="167" fontId="7" fillId="0" borderId="0" xfId="2" applyNumberFormat="1" applyFont="1" applyAlignment="1" applyProtection="1">
      <alignment horizontal="center"/>
      <protection locked="0"/>
    </xf>
    <xf numFmtId="167" fontId="6" fillId="0" borderId="0" xfId="2" applyNumberFormat="1" applyProtection="1">
      <protection locked="0"/>
    </xf>
    <xf numFmtId="167" fontId="6" fillId="0" borderId="0" xfId="2" applyNumberFormat="1" applyAlignment="1" applyProtection="1">
      <alignment wrapText="1"/>
      <protection locked="0"/>
    </xf>
    <xf numFmtId="167" fontId="6" fillId="0" borderId="0" xfId="2" applyNumberFormat="1" applyAlignment="1" applyProtection="1">
      <alignment horizontal="center" wrapText="1"/>
      <protection locked="0"/>
    </xf>
    <xf numFmtId="0" fontId="8" fillId="0" borderId="31" xfId="2" applyFont="1" applyBorder="1" applyAlignment="1" applyProtection="1">
      <alignment horizontal="center" vertical="center" wrapText="1"/>
      <protection locked="0"/>
    </xf>
    <xf numFmtId="38" fontId="8" fillId="0" borderId="1" xfId="1" applyFont="1" applyBorder="1" applyAlignment="1" applyProtection="1">
      <alignment horizontal="center" vertical="center" wrapText="1"/>
      <protection locked="0"/>
    </xf>
    <xf numFmtId="38" fontId="8" fillId="0" borderId="24" xfId="1" applyFont="1" applyBorder="1" applyAlignment="1" applyProtection="1">
      <alignment horizontal="center" vertical="center" wrapText="1"/>
      <protection locked="0"/>
    </xf>
    <xf numFmtId="0" fontId="8" fillId="0" borderId="1" xfId="2" quotePrefix="1" applyFont="1" applyBorder="1" applyAlignment="1" applyProtection="1">
      <alignment horizontal="center" vertical="center" wrapText="1"/>
      <protection locked="0"/>
    </xf>
    <xf numFmtId="0" fontId="8" fillId="0" borderId="0" xfId="2" applyFont="1" applyAlignment="1" applyProtection="1">
      <alignment horizontal="center" vertical="center"/>
      <protection locked="0"/>
    </xf>
    <xf numFmtId="0" fontId="16" fillId="0" borderId="0" xfId="11" applyFont="1" applyAlignment="1">
      <alignment horizontal="right" vertical="center"/>
    </xf>
    <xf numFmtId="0" fontId="16" fillId="0" borderId="0" xfId="11" applyFont="1">
      <alignment vertical="center"/>
    </xf>
    <xf numFmtId="173" fontId="16" fillId="0" borderId="0" xfId="11" applyNumberFormat="1" applyFont="1">
      <alignment vertical="center"/>
    </xf>
    <xf numFmtId="0" fontId="15" fillId="0" borderId="0" xfId="11" applyFont="1" applyAlignment="1">
      <alignment horizontal="right" vertical="center"/>
    </xf>
    <xf numFmtId="15" fontId="16" fillId="0" borderId="0" xfId="11" applyNumberFormat="1" applyFont="1" applyAlignment="1">
      <alignment horizontal="right" vertical="center"/>
    </xf>
    <xf numFmtId="0" fontId="16" fillId="0" borderId="18" xfId="11" applyFont="1" applyBorder="1">
      <alignment vertical="center"/>
    </xf>
    <xf numFmtId="0" fontId="14" fillId="0" borderId="21" xfId="11" applyFont="1" applyBorder="1">
      <alignment vertical="center"/>
    </xf>
    <xf numFmtId="0" fontId="16" fillId="0" borderId="2" xfId="11" applyFont="1" applyBorder="1">
      <alignment vertical="center"/>
    </xf>
    <xf numFmtId="0" fontId="16" fillId="0" borderId="22" xfId="11" applyFont="1" applyBorder="1">
      <alignment vertical="center"/>
    </xf>
    <xf numFmtId="0" fontId="16" fillId="0" borderId="32" xfId="11" applyFont="1" applyBorder="1" applyAlignment="1">
      <alignment horizontal="left" vertical="top"/>
    </xf>
    <xf numFmtId="0" fontId="16" fillId="0" borderId="0" xfId="11" applyFont="1" applyAlignment="1">
      <alignment horizontal="left" vertical="top"/>
    </xf>
    <xf numFmtId="0" fontId="16" fillId="0" borderId="25" xfId="11" applyFont="1" applyBorder="1" applyAlignment="1">
      <alignment horizontal="left" vertical="top"/>
    </xf>
    <xf numFmtId="0" fontId="6" fillId="0" borderId="32" xfId="11" applyBorder="1">
      <alignment vertical="center"/>
    </xf>
    <xf numFmtId="173" fontId="16" fillId="0" borderId="25" xfId="11" applyNumberFormat="1" applyFont="1" applyBorder="1">
      <alignment vertical="center"/>
    </xf>
    <xf numFmtId="0" fontId="16" fillId="0" borderId="32" xfId="11" applyFont="1" applyBorder="1">
      <alignment vertical="center"/>
    </xf>
    <xf numFmtId="0" fontId="16" fillId="0" borderId="25" xfId="11" applyFont="1" applyBorder="1">
      <alignment vertical="center"/>
    </xf>
    <xf numFmtId="0" fontId="16" fillId="0" borderId="13" xfId="11" applyFont="1" applyBorder="1">
      <alignment vertical="center"/>
    </xf>
    <xf numFmtId="0" fontId="16" fillId="0" borderId="3" xfId="11" applyFont="1" applyBorder="1">
      <alignment vertical="center"/>
    </xf>
    <xf numFmtId="0" fontId="16" fillId="0" borderId="20" xfId="11" applyFont="1" applyBorder="1">
      <alignment vertical="center"/>
    </xf>
    <xf numFmtId="0" fontId="16" fillId="0" borderId="32" xfId="11" applyFont="1" applyBorder="1" applyAlignment="1">
      <alignment vertical="top"/>
    </xf>
    <xf numFmtId="0" fontId="16" fillId="0" borderId="0" xfId="11" quotePrefix="1" applyFont="1">
      <alignment vertical="center"/>
    </xf>
    <xf numFmtId="0" fontId="16" fillId="0" borderId="3" xfId="11" quotePrefix="1" applyFont="1" applyBorder="1">
      <alignment vertical="center"/>
    </xf>
    <xf numFmtId="0" fontId="14" fillId="0" borderId="0" xfId="11" applyFont="1">
      <alignment vertical="center"/>
    </xf>
    <xf numFmtId="0" fontId="7" fillId="0" borderId="0" xfId="2" applyFont="1" applyAlignment="1" applyProtection="1">
      <alignment horizontal="center" wrapText="1"/>
      <protection locked="0"/>
    </xf>
    <xf numFmtId="168" fontId="8" fillId="0" borderId="0" xfId="2" quotePrefix="1" applyNumberFormat="1" applyFont="1" applyAlignment="1" applyProtection="1">
      <alignment wrapText="1"/>
      <protection locked="0"/>
    </xf>
    <xf numFmtId="0" fontId="8" fillId="0" borderId="0" xfId="2" applyFont="1" applyAlignment="1" applyProtection="1">
      <alignment wrapText="1"/>
      <protection locked="0"/>
    </xf>
    <xf numFmtId="0" fontId="8" fillId="0" borderId="0" xfId="2" applyFont="1" applyAlignment="1" applyProtection="1">
      <alignment horizontal="center" wrapText="1"/>
      <protection locked="0"/>
    </xf>
    <xf numFmtId="0" fontId="6" fillId="0" borderId="0" xfId="2" applyAlignment="1" applyProtection="1">
      <alignment wrapText="1"/>
      <protection locked="0"/>
    </xf>
    <xf numFmtId="0" fontId="16" fillId="0" borderId="1" xfId="11" applyFont="1" applyBorder="1" applyAlignment="1">
      <alignment horizontal="right" vertical="center"/>
    </xf>
    <xf numFmtId="0" fontId="16" fillId="0" borderId="1" xfId="11" applyFont="1" applyBorder="1" applyAlignment="1">
      <alignment horizontal="right" vertical="top" wrapText="1"/>
    </xf>
    <xf numFmtId="0" fontId="16" fillId="0" borderId="1" xfId="11" applyFont="1" applyBorder="1" applyAlignment="1">
      <alignment horizontal="right" vertical="top"/>
    </xf>
    <xf numFmtId="166" fontId="8" fillId="0" borderId="0" xfId="12" applyFont="1" applyProtection="1">
      <protection locked="0"/>
    </xf>
    <xf numFmtId="164" fontId="16" fillId="0" borderId="0" xfId="11" applyNumberFormat="1" applyFont="1">
      <alignment vertical="center"/>
    </xf>
    <xf numFmtId="164" fontId="0" fillId="0" borderId="0" xfId="0" applyNumberFormat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0" borderId="35" xfId="0" applyBorder="1">
      <alignment vertical="center"/>
    </xf>
    <xf numFmtId="164" fontId="0" fillId="0" borderId="35" xfId="0" applyNumberFormat="1" applyBorder="1">
      <alignment vertical="center"/>
    </xf>
    <xf numFmtId="164" fontId="4" fillId="0" borderId="35" xfId="0" applyNumberFormat="1" applyFont="1" applyBorder="1">
      <alignment vertical="center"/>
    </xf>
    <xf numFmtId="164" fontId="0" fillId="0" borderId="35" xfId="0" applyNumberFormat="1" applyBorder="1" applyAlignment="1">
      <alignment horizontal="right" vertical="center"/>
    </xf>
    <xf numFmtId="0" fontId="0" fillId="0" borderId="36" xfId="0" applyBorder="1">
      <alignment vertical="center"/>
    </xf>
    <xf numFmtId="164" fontId="0" fillId="0" borderId="36" xfId="0" applyNumberFormat="1" applyBorder="1">
      <alignment vertical="center"/>
    </xf>
    <xf numFmtId="164" fontId="0" fillId="0" borderId="39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174" fontId="0" fillId="0" borderId="32" xfId="0" applyNumberFormat="1" applyBorder="1">
      <alignment vertical="center"/>
    </xf>
    <xf numFmtId="174" fontId="0" fillId="0" borderId="42" xfId="0" applyNumberFormat="1" applyBorder="1">
      <alignment vertical="center"/>
    </xf>
    <xf numFmtId="0" fontId="0" fillId="0" borderId="43" xfId="0" applyBorder="1" applyAlignment="1">
      <alignment horizontal="center" vertical="center"/>
    </xf>
    <xf numFmtId="174" fontId="0" fillId="0" borderId="44" xfId="0" applyNumberFormat="1" applyBorder="1">
      <alignment vertical="center"/>
    </xf>
    <xf numFmtId="174" fontId="0" fillId="0" borderId="45" xfId="0" applyNumberFormat="1" applyBorder="1">
      <alignment vertical="center"/>
    </xf>
    <xf numFmtId="0" fontId="0" fillId="0" borderId="48" xfId="0" applyBorder="1">
      <alignment vertical="center"/>
    </xf>
    <xf numFmtId="174" fontId="0" fillId="0" borderId="21" xfId="0" applyNumberFormat="1" applyBorder="1">
      <alignment vertical="center"/>
    </xf>
    <xf numFmtId="174" fontId="0" fillId="0" borderId="49" xfId="0" applyNumberFormat="1" applyBorder="1">
      <alignment vertical="center"/>
    </xf>
    <xf numFmtId="164" fontId="0" fillId="0" borderId="23" xfId="0" applyNumberFormat="1" applyBorder="1">
      <alignment vertical="center"/>
    </xf>
    <xf numFmtId="0" fontId="0" fillId="0" borderId="50" xfId="0" applyBorder="1">
      <alignment vertical="center"/>
    </xf>
    <xf numFmtId="0" fontId="0" fillId="0" borderId="16" xfId="0" applyBorder="1">
      <alignment vertical="center"/>
    </xf>
    <xf numFmtId="0" fontId="0" fillId="0" borderId="15" xfId="0" applyBorder="1">
      <alignment vertical="center"/>
    </xf>
    <xf numFmtId="0" fontId="0" fillId="0" borderId="13" xfId="0" applyBorder="1">
      <alignment vertical="center"/>
    </xf>
    <xf numFmtId="0" fontId="0" fillId="0" borderId="51" xfId="0" applyBorder="1">
      <alignment vertical="center"/>
    </xf>
    <xf numFmtId="164" fontId="0" fillId="0" borderId="24" xfId="0" applyNumberFormat="1" applyBorder="1" applyAlignment="1">
      <alignment horizontal="center" vertical="center"/>
    </xf>
    <xf numFmtId="167" fontId="6" fillId="0" borderId="0" xfId="2" applyNumberFormat="1" applyAlignment="1" applyProtection="1">
      <alignment shrinkToFit="1"/>
      <protection locked="0"/>
    </xf>
    <xf numFmtId="0" fontId="7" fillId="0" borderId="0" xfId="2" applyFont="1" applyAlignment="1" applyProtection="1">
      <alignment horizontal="center" shrinkToFit="1"/>
      <protection locked="0"/>
    </xf>
    <xf numFmtId="0" fontId="8" fillId="0" borderId="0" xfId="2" applyFont="1" applyAlignment="1" applyProtection="1">
      <alignment shrinkToFit="1"/>
      <protection locked="0"/>
    </xf>
    <xf numFmtId="0" fontId="10" fillId="0" borderId="0" xfId="2" applyFont="1" applyAlignment="1" applyProtection="1">
      <alignment shrinkToFit="1"/>
      <protection locked="0"/>
    </xf>
    <xf numFmtId="0" fontId="8" fillId="0" borderId="11" xfId="2" applyFont="1" applyBorder="1" applyAlignment="1" applyProtection="1">
      <alignment horizontal="center" vertical="center" shrinkToFit="1"/>
      <protection locked="0"/>
    </xf>
    <xf numFmtId="0" fontId="8" fillId="0" borderId="0" xfId="2" applyFont="1" applyAlignment="1" applyProtection="1">
      <alignment horizontal="center" vertical="center" shrinkToFit="1"/>
      <protection locked="0"/>
    </xf>
    <xf numFmtId="164" fontId="4" fillId="0" borderId="24" xfId="0" applyNumberFormat="1" applyFont="1" applyBorder="1">
      <alignment vertical="center"/>
    </xf>
    <xf numFmtId="164" fontId="5" fillId="0" borderId="35" xfId="0" applyNumberFormat="1" applyFont="1" applyBorder="1">
      <alignment vertical="center"/>
    </xf>
    <xf numFmtId="164" fontId="4" fillId="0" borderId="35" xfId="0" applyNumberFormat="1" applyFont="1" applyBorder="1" applyAlignment="1">
      <alignment horizontal="right" vertical="center"/>
    </xf>
    <xf numFmtId="164" fontId="4" fillId="0" borderId="23" xfId="0" applyNumberFormat="1" applyFont="1" applyBorder="1" applyAlignment="1">
      <alignment horizontal="right" vertical="center"/>
    </xf>
    <xf numFmtId="164" fontId="4" fillId="0" borderId="36" xfId="0" applyNumberFormat="1" applyFont="1" applyBorder="1">
      <alignment vertical="center"/>
    </xf>
    <xf numFmtId="164" fontId="5" fillId="0" borderId="35" xfId="0" applyNumberFormat="1" applyFont="1" applyBorder="1" applyAlignment="1">
      <alignment horizontal="right" vertical="center"/>
    </xf>
    <xf numFmtId="164" fontId="4" fillId="0" borderId="24" xfId="0" applyNumberFormat="1" applyFont="1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0" fillId="0" borderId="31" xfId="0" applyBorder="1" applyAlignment="1">
      <alignment vertical="center" wrapText="1"/>
    </xf>
    <xf numFmtId="174" fontId="0" fillId="0" borderId="31" xfId="0" applyNumberFormat="1" applyBorder="1">
      <alignment vertical="center"/>
    </xf>
    <xf numFmtId="164" fontId="4" fillId="0" borderId="31" xfId="0" applyNumberFormat="1" applyFont="1" applyBorder="1">
      <alignment vertical="center"/>
    </xf>
    <xf numFmtId="164" fontId="4" fillId="0" borderId="55" xfId="0" applyNumberFormat="1" applyFont="1" applyBorder="1">
      <alignment vertical="center"/>
    </xf>
    <xf numFmtId="0" fontId="0" fillId="3" borderId="48" xfId="0" applyFill="1" applyBorder="1">
      <alignment vertical="center"/>
    </xf>
    <xf numFmtId="174" fontId="0" fillId="3" borderId="21" xfId="0" applyNumberFormat="1" applyFill="1" applyBorder="1">
      <alignment vertical="center"/>
    </xf>
    <xf numFmtId="174" fontId="0" fillId="3" borderId="49" xfId="0" applyNumberFormat="1" applyFill="1" applyBorder="1">
      <alignment vertical="center"/>
    </xf>
    <xf numFmtId="164" fontId="4" fillId="3" borderId="23" xfId="0" applyNumberFormat="1" applyFont="1" applyFill="1" applyBorder="1">
      <alignment vertical="center"/>
    </xf>
    <xf numFmtId="0" fontId="0" fillId="3" borderId="50" xfId="0" applyFill="1" applyBorder="1">
      <alignment vertical="center"/>
    </xf>
    <xf numFmtId="0" fontId="0" fillId="3" borderId="16" xfId="0" applyFill="1" applyBorder="1">
      <alignment vertical="center"/>
    </xf>
    <xf numFmtId="174" fontId="0" fillId="3" borderId="13" xfId="0" applyNumberFormat="1" applyFill="1" applyBorder="1">
      <alignment vertical="center"/>
    </xf>
    <xf numFmtId="174" fontId="0" fillId="3" borderId="51" xfId="0" applyNumberFormat="1" applyFill="1" applyBorder="1">
      <alignment vertical="center"/>
    </xf>
    <xf numFmtId="164" fontId="0" fillId="3" borderId="24" xfId="0" applyNumberFormat="1" applyFill="1" applyBorder="1">
      <alignment vertical="center"/>
    </xf>
    <xf numFmtId="0" fontId="0" fillId="3" borderId="15" xfId="0" applyFill="1" applyBorder="1">
      <alignment vertical="center"/>
    </xf>
    <xf numFmtId="164" fontId="0" fillId="3" borderId="23" xfId="0" applyNumberFormat="1" applyFill="1" applyBorder="1">
      <alignment vertical="center"/>
    </xf>
    <xf numFmtId="0" fontId="0" fillId="3" borderId="0" xfId="0" applyFill="1">
      <alignment vertical="center"/>
    </xf>
    <xf numFmtId="0" fontId="0" fillId="3" borderId="28" xfId="0" applyFill="1" applyBorder="1">
      <alignment vertical="center"/>
    </xf>
    <xf numFmtId="174" fontId="0" fillId="3" borderId="32" xfId="0" applyNumberFormat="1" applyFill="1" applyBorder="1">
      <alignment vertical="center"/>
    </xf>
    <xf numFmtId="174" fontId="0" fillId="3" borderId="44" xfId="0" applyNumberFormat="1" applyFill="1" applyBorder="1">
      <alignment vertical="center"/>
    </xf>
    <xf numFmtId="164" fontId="0" fillId="3" borderId="35" xfId="0" applyNumberFormat="1" applyFill="1" applyBorder="1">
      <alignment vertical="center"/>
    </xf>
    <xf numFmtId="0" fontId="0" fillId="3" borderId="29" xfId="0" applyFill="1" applyBorder="1">
      <alignment vertical="center"/>
    </xf>
    <xf numFmtId="164" fontId="4" fillId="3" borderId="35" xfId="0" applyNumberFormat="1" applyFont="1" applyFill="1" applyBorder="1">
      <alignment vertical="center"/>
    </xf>
    <xf numFmtId="0" fontId="17" fillId="0" borderId="56" xfId="0" applyFont="1" applyBorder="1" applyAlignment="1"/>
    <xf numFmtId="0" fontId="17" fillId="0" borderId="57" xfId="0" applyFont="1" applyBorder="1" applyAlignment="1"/>
    <xf numFmtId="17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7" fillId="0" borderId="0" xfId="0" applyFont="1" applyAlignment="1"/>
    <xf numFmtId="0" fontId="18" fillId="0" borderId="57" xfId="0" applyFont="1" applyBorder="1" applyAlignment="1"/>
    <xf numFmtId="164" fontId="5" fillId="0" borderId="23" xfId="0" applyNumberFormat="1" applyFont="1" applyBorder="1" applyAlignment="1">
      <alignment horizontal="right" vertical="center"/>
    </xf>
    <xf numFmtId="164" fontId="0" fillId="4" borderId="35" xfId="0" applyNumberFormat="1" applyFill="1" applyBorder="1">
      <alignment vertical="center"/>
    </xf>
    <xf numFmtId="175" fontId="0" fillId="2" borderId="0" xfId="0" applyNumberFormat="1" applyFill="1">
      <alignment vertical="center"/>
    </xf>
    <xf numFmtId="170" fontId="8" fillId="0" borderId="0" xfId="2" applyNumberFormat="1" applyFont="1" applyProtection="1">
      <protection locked="0"/>
    </xf>
    <xf numFmtId="0" fontId="8" fillId="0" borderId="1" xfId="2" applyFont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54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164" fontId="0" fillId="0" borderId="62" xfId="0" applyNumberForma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>
      <alignment vertical="center"/>
    </xf>
    <xf numFmtId="164" fontId="0" fillId="0" borderId="1" xfId="0" applyNumberFormat="1" applyBorder="1">
      <alignment vertical="center"/>
    </xf>
    <xf numFmtId="0" fontId="0" fillId="0" borderId="33" xfId="0" applyBorder="1">
      <alignment vertical="center"/>
    </xf>
    <xf numFmtId="0" fontId="0" fillId="0" borderId="0" xfId="0" applyAlignment="1">
      <alignment vertical="center" shrinkToFit="1"/>
    </xf>
    <xf numFmtId="0" fontId="0" fillId="0" borderId="35" xfId="0" applyBorder="1" applyAlignment="1">
      <alignment vertical="center" shrinkToFit="1"/>
    </xf>
    <xf numFmtId="0" fontId="5" fillId="0" borderId="35" xfId="0" applyFont="1" applyBorder="1" applyAlignment="1">
      <alignment vertical="center" shrinkToFit="1"/>
    </xf>
    <xf numFmtId="0" fontId="4" fillId="0" borderId="35" xfId="0" applyFont="1" applyBorder="1" applyAlignment="1">
      <alignment vertical="center" shrinkToFit="1"/>
    </xf>
    <xf numFmtId="0" fontId="0" fillId="0" borderId="23" xfId="0" applyBorder="1" applyAlignment="1">
      <alignment vertical="center" shrinkToFit="1"/>
    </xf>
    <xf numFmtId="0" fontId="0" fillId="0" borderId="24" xfId="0" applyBorder="1" applyAlignment="1">
      <alignment vertical="center" shrinkToFit="1"/>
    </xf>
    <xf numFmtId="0" fontId="4" fillId="0" borderId="24" xfId="0" applyFont="1" applyBorder="1" applyAlignment="1">
      <alignment vertical="center" shrinkToFit="1"/>
    </xf>
    <xf numFmtId="0" fontId="4" fillId="0" borderId="36" xfId="0" applyFont="1" applyBorder="1" applyAlignment="1">
      <alignment vertical="center" shrinkToFit="1"/>
    </xf>
    <xf numFmtId="0" fontId="0" fillId="0" borderId="31" xfId="0" applyBorder="1" applyAlignment="1">
      <alignment vertical="center" shrinkToFit="1"/>
    </xf>
    <xf numFmtId="0" fontId="4" fillId="0" borderId="7" xfId="0" applyFont="1" applyBorder="1" applyAlignment="1">
      <alignment vertical="center" shrinkToFit="1"/>
    </xf>
    <xf numFmtId="0" fontId="13" fillId="0" borderId="23" xfId="2" applyFont="1" applyBorder="1" applyAlignment="1" applyProtection="1">
      <alignment horizontal="center" vertical="center" wrapText="1"/>
      <protection locked="0"/>
    </xf>
    <xf numFmtId="0" fontId="13" fillId="0" borderId="24" xfId="2" applyFont="1" applyBorder="1" applyAlignment="1" applyProtection="1">
      <alignment horizontal="center" vertical="center" wrapText="1"/>
      <protection locked="0"/>
    </xf>
    <xf numFmtId="0" fontId="13" fillId="0" borderId="1" xfId="2" applyFont="1" applyBorder="1" applyAlignment="1" applyProtection="1">
      <alignment horizontal="center" vertical="center" wrapText="1"/>
      <protection locked="0"/>
    </xf>
    <xf numFmtId="0" fontId="8" fillId="0" borderId="1" xfId="2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13" fillId="0" borderId="5" xfId="2" applyFont="1" applyBorder="1" applyAlignment="1" applyProtection="1">
      <alignment horizontal="center" vertical="center" wrapText="1"/>
      <protection locked="0"/>
    </xf>
    <xf numFmtId="0" fontId="13" fillId="0" borderId="4" xfId="2" applyFont="1" applyBorder="1" applyAlignment="1" applyProtection="1">
      <alignment horizontal="center" vertical="center" wrapText="1"/>
      <protection locked="0"/>
    </xf>
    <xf numFmtId="0" fontId="13" fillId="0" borderId="6" xfId="2" applyFont="1" applyBorder="1" applyAlignment="1" applyProtection="1">
      <alignment horizontal="center" vertical="center" wrapText="1"/>
      <protection locked="0"/>
    </xf>
    <xf numFmtId="0" fontId="8" fillId="0" borderId="23" xfId="2" applyFont="1" applyBorder="1" applyAlignment="1" applyProtection="1">
      <alignment horizontal="left" vertical="center" wrapText="1"/>
      <protection locked="0"/>
    </xf>
    <xf numFmtId="0" fontId="8" fillId="0" borderId="24" xfId="2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21" xfId="2" applyFont="1" applyBorder="1" applyAlignment="1" applyProtection="1">
      <alignment horizontal="center" vertical="center" wrapText="1"/>
      <protection locked="0"/>
    </xf>
    <xf numFmtId="0" fontId="13" fillId="0" borderId="22" xfId="2" applyFont="1" applyBorder="1" applyAlignment="1" applyProtection="1">
      <alignment horizontal="center" vertical="center" wrapText="1"/>
      <protection locked="0"/>
    </xf>
    <xf numFmtId="0" fontId="13" fillId="0" borderId="32" xfId="2" applyFont="1" applyBorder="1" applyAlignment="1" applyProtection="1">
      <alignment horizontal="center" vertical="center" wrapText="1"/>
      <protection locked="0"/>
    </xf>
    <xf numFmtId="0" fontId="13" fillId="0" borderId="25" xfId="2" applyFont="1" applyBorder="1" applyAlignment="1" applyProtection="1">
      <alignment horizontal="center" vertical="center" wrapText="1"/>
      <protection locked="0"/>
    </xf>
    <xf numFmtId="0" fontId="13" fillId="0" borderId="13" xfId="2" applyFont="1" applyBorder="1" applyAlignment="1" applyProtection="1">
      <alignment horizontal="center" vertical="center" wrapText="1"/>
      <protection locked="0"/>
    </xf>
    <xf numFmtId="0" fontId="13" fillId="0" borderId="20" xfId="2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8" fillId="0" borderId="23" xfId="2" applyFont="1" applyBorder="1" applyAlignment="1" applyProtection="1">
      <alignment horizontal="center" vertical="center" wrapText="1"/>
      <protection locked="0"/>
    </xf>
    <xf numFmtId="0" fontId="8" fillId="0" borderId="24" xfId="2" applyFont="1" applyBorder="1" applyAlignment="1" applyProtection="1">
      <alignment horizontal="center" vertical="center" wrapText="1"/>
      <protection locked="0"/>
    </xf>
    <xf numFmtId="171" fontId="8" fillId="0" borderId="5" xfId="2" applyNumberFormat="1" applyFont="1" applyBorder="1" applyAlignment="1" applyProtection="1">
      <alignment vertical="center" wrapText="1"/>
      <protection locked="0"/>
    </xf>
    <xf numFmtId="170" fontId="8" fillId="0" borderId="28" xfId="2" applyNumberFormat="1" applyFont="1" applyBorder="1" applyAlignment="1" applyProtection="1">
      <alignment horizontal="center" vertical="center"/>
      <protection locked="0"/>
    </xf>
    <xf numFmtId="170" fontId="8" fillId="0" borderId="0" xfId="2" applyNumberFormat="1" applyFont="1" applyAlignment="1" applyProtection="1">
      <alignment horizontal="center" vertical="center"/>
      <protection locked="0"/>
    </xf>
    <xf numFmtId="170" fontId="8" fillId="0" borderId="29" xfId="2" applyNumberFormat="1" applyFont="1" applyBorder="1" applyAlignment="1" applyProtection="1">
      <alignment horizontal="center" vertical="center"/>
      <protection locked="0"/>
    </xf>
    <xf numFmtId="170" fontId="8" fillId="0" borderId="16" xfId="2" applyNumberFormat="1" applyFont="1" applyBorder="1" applyAlignment="1" applyProtection="1">
      <alignment horizontal="center" vertical="center"/>
      <protection locked="0"/>
    </xf>
    <xf numFmtId="170" fontId="8" fillId="0" borderId="3" xfId="2" applyNumberFormat="1" applyFont="1" applyBorder="1" applyAlignment="1" applyProtection="1">
      <alignment horizontal="center" vertical="center"/>
      <protection locked="0"/>
    </xf>
    <xf numFmtId="170" fontId="8" fillId="0" borderId="15" xfId="2" applyNumberFormat="1" applyFont="1" applyBorder="1" applyAlignment="1" applyProtection="1">
      <alignment horizontal="center" vertical="center"/>
      <protection locked="0"/>
    </xf>
    <xf numFmtId="167" fontId="7" fillId="0" borderId="0" xfId="2" applyNumberFormat="1" applyFont="1" applyAlignment="1" applyProtection="1">
      <alignment horizontal="center"/>
      <protection locked="0"/>
    </xf>
    <xf numFmtId="168" fontId="8" fillId="0" borderId="0" xfId="2" quotePrefix="1" applyNumberFormat="1" applyFont="1" applyAlignment="1" applyProtection="1">
      <alignment horizontal="right"/>
      <protection locked="0"/>
    </xf>
    <xf numFmtId="0" fontId="8" fillId="0" borderId="0" xfId="2" applyFont="1" applyAlignment="1" applyProtection="1">
      <alignment horizontal="center" vertical="center"/>
      <protection locked="0"/>
    </xf>
    <xf numFmtId="0" fontId="6" fillId="0" borderId="0" xfId="2" applyAlignment="1" applyProtection="1">
      <alignment horizontal="center" vertical="center"/>
      <protection locked="0"/>
    </xf>
    <xf numFmtId="0" fontId="8" fillId="0" borderId="7" xfId="2" applyFont="1" applyBorder="1" applyAlignment="1" applyProtection="1">
      <alignment horizontal="center" vertical="center"/>
      <protection locked="0"/>
    </xf>
    <xf numFmtId="0" fontId="6" fillId="0" borderId="9" xfId="2" applyBorder="1" applyAlignment="1" applyProtection="1">
      <alignment horizontal="center" vertical="center"/>
      <protection locked="0"/>
    </xf>
    <xf numFmtId="0" fontId="6" fillId="0" borderId="10" xfId="2" applyBorder="1" applyAlignment="1" applyProtection="1">
      <alignment horizontal="center" vertical="center"/>
      <protection locked="0"/>
    </xf>
    <xf numFmtId="0" fontId="8" fillId="0" borderId="27" xfId="2" applyFont="1" applyBorder="1" applyAlignment="1" applyProtection="1">
      <alignment horizontal="center" vertical="center" wrapText="1"/>
      <protection locked="0"/>
    </xf>
    <xf numFmtId="0" fontId="8" fillId="0" borderId="25" xfId="2" applyFont="1" applyBorder="1" applyAlignment="1" applyProtection="1">
      <alignment horizontal="center" vertical="center" shrinkToFit="1"/>
      <protection locked="0"/>
    </xf>
    <xf numFmtId="0" fontId="8" fillId="0" borderId="20" xfId="2" applyFont="1" applyBorder="1" applyAlignment="1" applyProtection="1">
      <alignment horizontal="center" vertical="center" shrinkToFit="1"/>
      <protection locked="0"/>
    </xf>
    <xf numFmtId="170" fontId="8" fillId="0" borderId="34" xfId="1" applyNumberFormat="1" applyFont="1" applyBorder="1" applyAlignment="1" applyProtection="1">
      <alignment horizontal="center" vertical="center" wrapText="1"/>
      <protection locked="0"/>
    </xf>
    <xf numFmtId="170" fontId="8" fillId="0" borderId="24" xfId="1" applyNumberFormat="1" applyFont="1" applyBorder="1" applyAlignment="1" applyProtection="1">
      <alignment horizontal="center" vertical="center" wrapText="1"/>
      <protection locked="0"/>
    </xf>
    <xf numFmtId="171" fontId="19" fillId="0" borderId="13" xfId="2" applyNumberFormat="1" applyFont="1" applyBorder="1" applyAlignment="1" applyProtection="1">
      <alignment vertical="center" wrapText="1"/>
      <protection locked="0"/>
    </xf>
    <xf numFmtId="171" fontId="19" fillId="0" borderId="21" xfId="2" applyNumberFormat="1" applyFont="1" applyBorder="1" applyAlignment="1" applyProtection="1">
      <alignment vertical="center" wrapText="1"/>
      <protection locked="0"/>
    </xf>
    <xf numFmtId="0" fontId="8" fillId="0" borderId="26" xfId="2" applyFont="1" applyBorder="1" applyAlignment="1" applyProtection="1">
      <alignment horizontal="center" vertical="center" wrapText="1"/>
      <protection locked="0"/>
    </xf>
    <xf numFmtId="0" fontId="8" fillId="0" borderId="30" xfId="2" applyFont="1" applyBorder="1" applyAlignment="1" applyProtection="1">
      <alignment horizontal="center" vertical="center" wrapText="1"/>
      <protection locked="0"/>
    </xf>
    <xf numFmtId="171" fontId="19" fillId="0" borderId="33" xfId="2" applyNumberFormat="1" applyFont="1" applyBorder="1" applyAlignment="1" applyProtection="1">
      <alignment vertical="center" wrapText="1"/>
      <protection locked="0"/>
    </xf>
    <xf numFmtId="171" fontId="8" fillId="0" borderId="33" xfId="2" applyNumberFormat="1" applyFont="1" applyBorder="1" applyAlignment="1" applyProtection="1">
      <alignment vertical="center" wrapText="1"/>
      <protection locked="0"/>
    </xf>
    <xf numFmtId="0" fontId="8" fillId="0" borderId="14" xfId="2" applyFont="1" applyBorder="1" applyAlignment="1" applyProtection="1">
      <alignment horizontal="center" vertical="center" shrinkToFit="1"/>
      <protection locked="0"/>
    </xf>
    <xf numFmtId="0" fontId="8" fillId="0" borderId="12" xfId="2" applyFont="1" applyBorder="1" applyAlignment="1" applyProtection="1">
      <alignment horizontal="center" vertical="center" shrinkToFit="1"/>
      <protection locked="0"/>
    </xf>
    <xf numFmtId="0" fontId="8" fillId="0" borderId="3" xfId="2" applyFont="1" applyBorder="1" applyAlignment="1" applyProtection="1">
      <alignment horizontal="center"/>
      <protection locked="0"/>
    </xf>
    <xf numFmtId="0" fontId="8" fillId="0" borderId="2" xfId="2" applyFont="1" applyBorder="1" applyAlignment="1" applyProtection="1">
      <alignment horizontal="center"/>
      <protection locked="0"/>
    </xf>
    <xf numFmtId="0" fontId="8" fillId="0" borderId="0" xfId="2" applyFont="1" applyAlignment="1" applyProtection="1">
      <alignment horizontal="center"/>
      <protection locked="0"/>
    </xf>
    <xf numFmtId="0" fontId="8" fillId="0" borderId="17" xfId="2" applyFont="1" applyBorder="1" applyAlignment="1" applyProtection="1">
      <alignment horizontal="center" vertical="center"/>
      <protection locked="0"/>
    </xf>
    <xf numFmtId="0" fontId="8" fillId="0" borderId="18" xfId="2" applyFont="1" applyBorder="1" applyAlignment="1" applyProtection="1">
      <alignment horizontal="center" vertical="center"/>
      <protection locked="0"/>
    </xf>
    <xf numFmtId="0" fontId="6" fillId="0" borderId="18" xfId="2" applyBorder="1" applyProtection="1">
      <protection locked="0"/>
    </xf>
    <xf numFmtId="170" fontId="8" fillId="0" borderId="17" xfId="2" applyNumberFormat="1" applyFont="1" applyBorder="1" applyAlignment="1" applyProtection="1">
      <alignment horizontal="center" vertical="center"/>
      <protection locked="0"/>
    </xf>
    <xf numFmtId="170" fontId="6" fillId="0" borderId="18" xfId="2" applyNumberFormat="1" applyBorder="1" applyAlignment="1" applyProtection="1">
      <alignment horizontal="center" vertical="center"/>
      <protection locked="0"/>
    </xf>
    <xf numFmtId="170" fontId="6" fillId="0" borderId="19" xfId="2" applyNumberFormat="1" applyBorder="1" applyAlignment="1" applyProtection="1">
      <alignment horizontal="center" vertical="center"/>
      <protection locked="0"/>
    </xf>
    <xf numFmtId="0" fontId="8" fillId="0" borderId="9" xfId="2" applyFont="1" applyBorder="1" applyAlignment="1" applyProtection="1">
      <alignment horizontal="center" vertical="center"/>
      <protection locked="0"/>
    </xf>
    <xf numFmtId="170" fontId="8" fillId="0" borderId="18" xfId="2" applyNumberFormat="1" applyFont="1" applyBorder="1" applyAlignment="1" applyProtection="1">
      <alignment horizontal="center" vertical="center"/>
      <protection locked="0"/>
    </xf>
    <xf numFmtId="170" fontId="8" fillId="0" borderId="19" xfId="2" applyNumberFormat="1" applyFont="1" applyBorder="1" applyAlignment="1" applyProtection="1">
      <alignment horizontal="center" vertical="center"/>
      <protection locked="0"/>
    </xf>
    <xf numFmtId="0" fontId="6" fillId="0" borderId="9" xfId="2" applyBorder="1" applyProtection="1">
      <protection locked="0"/>
    </xf>
    <xf numFmtId="170" fontId="8" fillId="0" borderId="7" xfId="2" applyNumberFormat="1" applyFont="1" applyBorder="1" applyAlignment="1" applyProtection="1">
      <alignment horizontal="center"/>
      <protection locked="0"/>
    </xf>
    <xf numFmtId="170" fontId="8" fillId="0" borderId="9" xfId="2" applyNumberFormat="1" applyFont="1" applyBorder="1" applyAlignment="1" applyProtection="1">
      <alignment horizontal="center"/>
      <protection locked="0"/>
    </xf>
    <xf numFmtId="170" fontId="8" fillId="0" borderId="10" xfId="2" applyNumberFormat="1" applyFont="1" applyBorder="1" applyAlignment="1" applyProtection="1">
      <alignment horizontal="center"/>
      <protection locked="0"/>
    </xf>
    <xf numFmtId="167" fontId="6" fillId="0" borderId="0" xfId="2" applyNumberFormat="1" applyProtection="1">
      <protection locked="0"/>
    </xf>
    <xf numFmtId="0" fontId="16" fillId="0" borderId="0" xfId="11" applyFont="1" applyAlignment="1">
      <alignment horizontal="center" vertical="center"/>
    </xf>
    <xf numFmtId="0" fontId="16" fillId="0" borderId="1" xfId="11" applyFont="1" applyBorder="1" applyAlignment="1">
      <alignment horizontal="left" vertical="top" wrapText="1"/>
    </xf>
    <xf numFmtId="164" fontId="16" fillId="0" borderId="1" xfId="11" applyNumberFormat="1" applyFont="1" applyBorder="1" applyAlignment="1">
      <alignment vertical="top"/>
    </xf>
    <xf numFmtId="0" fontId="14" fillId="0" borderId="13" xfId="11" applyFont="1" applyBorder="1" applyAlignment="1">
      <alignment horizontal="left" vertical="center"/>
    </xf>
    <xf numFmtId="0" fontId="14" fillId="0" borderId="3" xfId="11" applyFont="1" applyBorder="1" applyAlignment="1">
      <alignment horizontal="left" vertical="center"/>
    </xf>
    <xf numFmtId="0" fontId="14" fillId="0" borderId="20" xfId="11" applyFont="1" applyBorder="1" applyAlignment="1">
      <alignment horizontal="left" vertical="center"/>
    </xf>
    <xf numFmtId="164" fontId="14" fillId="0" borderId="13" xfId="11" applyNumberFormat="1" applyFont="1" applyBorder="1" applyAlignment="1">
      <alignment horizontal="right" vertical="top"/>
    </xf>
    <xf numFmtId="164" fontId="14" fillId="0" borderId="3" xfId="11" applyNumberFormat="1" applyFont="1" applyBorder="1" applyAlignment="1">
      <alignment horizontal="right" vertical="top"/>
    </xf>
    <xf numFmtId="164" fontId="14" fillId="0" borderId="20" xfId="11" applyNumberFormat="1" applyFont="1" applyBorder="1" applyAlignment="1">
      <alignment horizontal="right" vertical="top"/>
    </xf>
    <xf numFmtId="164" fontId="16" fillId="0" borderId="1" xfId="11" applyNumberFormat="1" applyFont="1" applyBorder="1">
      <alignment vertical="center"/>
    </xf>
    <xf numFmtId="0" fontId="16" fillId="0" borderId="5" xfId="11" applyFont="1" applyBorder="1" applyAlignment="1">
      <alignment horizontal="left" vertical="top" wrapText="1"/>
    </xf>
    <xf numFmtId="0" fontId="16" fillId="0" borderId="4" xfId="11" applyFont="1" applyBorder="1" applyAlignment="1">
      <alignment horizontal="left" vertical="top" wrapText="1"/>
    </xf>
    <xf numFmtId="0" fontId="16" fillId="0" borderId="6" xfId="11" applyFont="1" applyBorder="1" applyAlignment="1">
      <alignment horizontal="left" vertical="top" wrapText="1"/>
    </xf>
    <xf numFmtId="0" fontId="14" fillId="0" borderId="0" xfId="11" applyFont="1" applyAlignment="1">
      <alignment horizontal="center" vertical="center"/>
    </xf>
    <xf numFmtId="0" fontId="16" fillId="0" borderId="0" xfId="11" applyFont="1" applyAlignment="1">
      <alignment horizontal="left" vertical="top" wrapText="1"/>
    </xf>
    <xf numFmtId="0" fontId="16" fillId="0" borderId="25" xfId="11" applyFont="1" applyBorder="1" applyAlignment="1">
      <alignment horizontal="left" vertical="top" wrapText="1"/>
    </xf>
    <xf numFmtId="0" fontId="16" fillId="0" borderId="0" xfId="11" applyFont="1" applyAlignment="1">
      <alignment horizontal="left" vertical="center" wrapText="1"/>
    </xf>
    <xf numFmtId="0" fontId="16" fillId="0" borderId="25" xfId="11" applyFont="1" applyBorder="1" applyAlignment="1">
      <alignment horizontal="left" vertical="center" wrapText="1"/>
    </xf>
    <xf numFmtId="0" fontId="16" fillId="0" borderId="32" xfId="11" applyFont="1" applyBorder="1" applyAlignment="1">
      <alignment horizontal="left" vertical="center" wrapText="1"/>
    </xf>
    <xf numFmtId="0" fontId="16" fillId="0" borderId="0" xfId="11" applyFont="1" applyAlignment="1">
      <alignment horizontal="left" vertical="top"/>
    </xf>
    <xf numFmtId="0" fontId="16" fillId="0" borderId="25" xfId="11" applyFont="1" applyBorder="1" applyAlignment="1">
      <alignment horizontal="left" vertical="top"/>
    </xf>
    <xf numFmtId="0" fontId="16" fillId="0" borderId="0" xfId="11" applyFont="1" applyAlignment="1">
      <alignment horizontal="left" vertical="center"/>
    </xf>
    <xf numFmtId="0" fontId="16" fillId="0" borderId="25" xfId="11" applyFont="1" applyBorder="1" applyAlignment="1">
      <alignment horizontal="left" vertical="center"/>
    </xf>
    <xf numFmtId="0" fontId="14" fillId="0" borderId="5" xfId="11" applyFont="1" applyBorder="1" applyAlignment="1">
      <alignment horizontal="center" vertical="center"/>
    </xf>
    <xf numFmtId="0" fontId="14" fillId="0" borderId="4" xfId="11" applyFont="1" applyBorder="1" applyAlignment="1">
      <alignment horizontal="center" vertical="center"/>
    </xf>
    <xf numFmtId="0" fontId="14" fillId="0" borderId="6" xfId="11" applyFont="1" applyBorder="1" applyAlignment="1">
      <alignment horizontal="center" vertical="center"/>
    </xf>
    <xf numFmtId="0" fontId="14" fillId="0" borderId="0" xfId="11" applyFont="1" applyAlignment="1">
      <alignment horizontal="left" vertical="center"/>
    </xf>
    <xf numFmtId="0" fontId="15" fillId="0" borderId="0" xfId="11" applyFont="1" applyAlignment="1">
      <alignment horizontal="right" vertical="center"/>
    </xf>
    <xf numFmtId="0" fontId="16" fillId="0" borderId="32" xfId="11" applyFont="1" applyBorder="1" applyAlignment="1">
      <alignment horizontal="left" vertical="top" wrapText="1"/>
    </xf>
    <xf numFmtId="0" fontId="0" fillId="0" borderId="53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0" fillId="3" borderId="23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24" xfId="0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3" borderId="35" xfId="0" applyFill="1" applyBorder="1" applyAlignment="1">
      <alignment horizontal="left" vertical="center" wrapText="1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</cellXfs>
  <cellStyles count="13">
    <cellStyle name="Comma" xfId="12" builtinId="3"/>
    <cellStyle name="Comma [0]" xfId="1" builtinId="6"/>
    <cellStyle name="Comma 14" xfId="5" xr:uid="{00000000-0005-0000-0000-000002000000}"/>
    <cellStyle name="Comma 2" xfId="9" xr:uid="{00000000-0005-0000-0000-000003000000}"/>
    <cellStyle name="Normal" xfId="0" builtinId="0"/>
    <cellStyle name="Normal 2" xfId="7" xr:uid="{00000000-0005-0000-0000-000005000000}"/>
    <cellStyle name="Normal 3" xfId="8" xr:uid="{00000000-0005-0000-0000-000006000000}"/>
    <cellStyle name="Normal 4" xfId="6" xr:uid="{00000000-0005-0000-0000-000007000000}"/>
    <cellStyle name="桁区切り [0.00] 2" xfId="4" xr:uid="{00000000-0005-0000-0000-000008000000}"/>
    <cellStyle name="桁区切り [0.00] 3" xfId="10" xr:uid="{00000000-0005-0000-0000-000009000000}"/>
    <cellStyle name="標準 2" xfId="2" xr:uid="{00000000-0005-0000-0000-00000A000000}"/>
    <cellStyle name="標準 3" xfId="3" xr:uid="{00000000-0005-0000-0000-00000B000000}"/>
    <cellStyle name="標準 4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3</xdr:row>
      <xdr:rowOff>19050</xdr:rowOff>
    </xdr:from>
    <xdr:to>
      <xdr:col>8</xdr:col>
      <xdr:colOff>571500</xdr:colOff>
      <xdr:row>4</xdr:row>
      <xdr:rowOff>200025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34B8E2DA-736B-47A4-B414-E77C1F10E514}"/>
            </a:ext>
          </a:extLst>
        </xdr:cNvPr>
        <xdr:cNvSpPr txBox="1">
          <a:spLocks noChangeArrowheads="1"/>
        </xdr:cNvSpPr>
      </xdr:nvSpPr>
      <xdr:spPr bwMode="auto">
        <a:xfrm>
          <a:off x="4434840" y="739140"/>
          <a:ext cx="1232535" cy="434340"/>
        </a:xfrm>
        <a:prstGeom prst="rect">
          <a:avLst/>
        </a:prstGeom>
        <a:solidFill>
          <a:srgbClr val="FFFFFF"/>
        </a:solidFill>
        <a:ln w="3175">
          <a:noFill/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en-US" altLang="ja-JP" sz="1800" b="1" i="1" strike="noStrike">
              <a:solidFill>
                <a:srgbClr val="000000"/>
              </a:solidFill>
              <a:latin typeface="MS Reference Sans Serif"/>
            </a:rPr>
            <a:t>INVOICE</a:t>
          </a:r>
        </a:p>
      </xdr:txBody>
    </xdr:sp>
    <xdr:clientData/>
  </xdr:twoCellAnchor>
  <xdr:twoCellAnchor>
    <xdr:from>
      <xdr:col>6</xdr:col>
      <xdr:colOff>9525</xdr:colOff>
      <xdr:row>34</xdr:row>
      <xdr:rowOff>9525</xdr:rowOff>
    </xdr:from>
    <xdr:to>
      <xdr:col>9</xdr:col>
      <xdr:colOff>685800</xdr:colOff>
      <xdr:row>34</xdr:row>
      <xdr:rowOff>9525</xdr:rowOff>
    </xdr:to>
    <xdr:cxnSp macro="">
      <xdr:nvCxnSpPr>
        <xdr:cNvPr id="3" name="AutoShape 3">
          <a:extLst>
            <a:ext uri="{FF2B5EF4-FFF2-40B4-BE49-F238E27FC236}">
              <a16:creationId xmlns:a16="http://schemas.microsoft.com/office/drawing/2014/main" id="{B85682B3-17A0-4F17-B795-DD4048F0EB09}"/>
            </a:ext>
          </a:extLst>
        </xdr:cNvPr>
        <xdr:cNvCxnSpPr>
          <a:cxnSpLocks noChangeShapeType="1"/>
        </xdr:cNvCxnSpPr>
      </xdr:nvCxnSpPr>
      <xdr:spPr bwMode="auto">
        <a:xfrm>
          <a:off x="4431030" y="9136380"/>
          <a:ext cx="196977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aarten.gr/Local%20Settings/Temporary%20Internet%20Files/OLK6E/1-DTT-Profit%20&amp;%20Loss-LE%231-20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irinan_ch\Local%20Settings\Temporary%20Internet%20Files\OLK6EB\Data\ADFBS\Results\MSIL%20Results%2001%20to%2010%20-%2005112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-EVE-Summary-Included"/>
      <sheetName val="PL-VIP-Format2"/>
      <sheetName val="PL-VIP-Summary-Included"/>
      <sheetName val="PL-Total DTT-Summary"/>
      <sheetName val="PL-Total DTT-Detail"/>
      <sheetName val="PL-DTT &amp; Comparison"/>
      <sheetName val="PL-HO+Branches"/>
      <sheetName val="PL-HO"/>
      <sheetName val="PL-HKT"/>
      <sheetName val="PL-Samui"/>
      <sheetName val="PL-CEI"/>
      <sheetName val="Inbound-DTT"/>
      <sheetName val="Leisure-DTT"/>
      <sheetName val="Events-DTT"/>
      <sheetName val="DTT BY MONTH"/>
      <sheetName val="INBOUND BY MONTH"/>
      <sheetName val="LEISURE BY MONTH"/>
      <sheetName val="EVENT BY MONTH"/>
      <sheetName val="EVENT ONLY BY MONTH"/>
      <sheetName val="VIP ONLY BY MONTH"/>
      <sheetName val="PL_HO BY MONTH"/>
      <sheetName val="PL_OPSC BY MONTH"/>
      <sheetName val="PL_OPS1 BY MONTH"/>
      <sheetName val="PL_OPS2 BY MONTH"/>
      <sheetName val="PL_OPS3 BY MONTH"/>
      <sheetName val="PL_OPS4 BY MONTH"/>
      <sheetName val="PL_OPS5 BY MONTH"/>
      <sheetName val="PL_OPS6 BY MONTH"/>
      <sheetName val="PL_OPS7 BY MONTH"/>
      <sheetName val="PL_ASSM BY MONTH"/>
      <sheetName val="PL_MD BY MONTH"/>
      <sheetName val="PL_MD-Adjustment BY MONTH (2)"/>
      <sheetName val="PL_DOS1 BY MONTH"/>
      <sheetName val="PL_DOS2 BY MONTH"/>
      <sheetName val="PL_DOS3 BY MONTH"/>
      <sheetName val="PL_DOS4 BY MONTH"/>
      <sheetName val="PL_PRD BY MONTH"/>
      <sheetName val="PL_INDO BY MONTH"/>
      <sheetName val="PL_SELF BY MONTH"/>
      <sheetName val="PL_EURL BY MONTH"/>
      <sheetName val="PL_PRO BY MONTH"/>
      <sheetName val="PL_EVE BY MONTH"/>
      <sheetName val="PL_VIP BY MONTH"/>
      <sheetName val="PL_ACC BY MONTH"/>
      <sheetName val="PL_CHE BY MONTH"/>
      <sheetName val="PL_CRE BY MONTH"/>
      <sheetName val="PL_BSD BY MONTH"/>
      <sheetName val="PL_HR BY MONTH"/>
      <sheetName val="PL_ADM BY MONTH"/>
      <sheetName val="PL_HK by Month"/>
      <sheetName val="PL_SM by Month"/>
      <sheetName val="PL_CE by Month"/>
      <sheetName val="Staff Cost_YTD"/>
      <sheetName val="Staff Cost_Dec07"/>
      <sheetName val="Staff Cost_Nov07"/>
      <sheetName val="Staff Cost_Oct07"/>
      <sheetName val="Staff Cost_Sep07"/>
      <sheetName val="Staff Cost_Aug07"/>
      <sheetName val="Staff Cost_Jul07"/>
      <sheetName val="Staff Cost_Jun07"/>
      <sheetName val="Staff Cost_May07"/>
      <sheetName val="Staff Cost_Apr07"/>
      <sheetName val="Staff Cost_Mar07"/>
      <sheetName val="Staff Cost_Feb07"/>
      <sheetName val="Staff Cost_Jan07"/>
      <sheetName val="Comparison-Staff Cost_YTD"/>
      <sheetName val="Comparison-Staff Cost_Dec07"/>
      <sheetName val="Comparison-Staff Cost_Nov07"/>
      <sheetName val="Comparison-Staff Cost_Oct07"/>
      <sheetName val="Comparison-Staff Cost_Sep07"/>
      <sheetName val="Comparison-Staff Cost_Aug07"/>
      <sheetName val="Comparison-Staff Cost_Jul07"/>
      <sheetName val="Comparison-Staff Cost_Jun07"/>
      <sheetName val="Comparison-Staff Cost_May07"/>
      <sheetName val="Comparison-Staff Cost_Apr07"/>
      <sheetName val="Comparison-Staff Cost_Mar07"/>
      <sheetName val="Comparison-Staff Cost_Feb07"/>
      <sheetName val="Comparison-Staff Cost_Jan07"/>
      <sheetName val="Other Exp_YTD"/>
      <sheetName val="Other Exp_Dec07"/>
      <sheetName val="Other Exp_Nov07"/>
      <sheetName val="Other Exp_Oct07"/>
      <sheetName val="Other Exp_Sep07"/>
      <sheetName val="Other Exp_Aug07"/>
      <sheetName val="Other Exp_Jul07"/>
      <sheetName val="Other Exp_Jun07"/>
      <sheetName val="Other Exp_May07"/>
      <sheetName val="Other Exp_Apr07"/>
      <sheetName val="Other Exp_Mar07"/>
      <sheetName val="Other Exp_Feb07"/>
      <sheetName val="Other Exp_Jan07"/>
      <sheetName val="Comparison-Other Exp_YTD"/>
      <sheetName val="Comparison-Other Exp_Dec07"/>
      <sheetName val="Comparison-Other Exp_Nov07"/>
      <sheetName val="Comparison-Other Exp_Oct07"/>
      <sheetName val="Comparison-Other Exp_Sep07"/>
      <sheetName val="Comparison-Other Exp_Aug06"/>
      <sheetName val="Comparison-Other Exp_Jul07"/>
      <sheetName val="Comparison-Other Exp_Jun06"/>
      <sheetName val="Comparison-Other Exp_May07"/>
      <sheetName val="Comparison-Other Exp_Apr07"/>
      <sheetName val="Comparison-Other Exp_Mar07"/>
      <sheetName val="Comparison-Other Exp_Feb07"/>
      <sheetName val="Comparison-Other Exp_Jan07"/>
      <sheetName val="Other Income_YTD"/>
      <sheetName val="Other Income_Dec07"/>
      <sheetName val="Other Income_Nov07"/>
      <sheetName val="Other Income_Oct07"/>
      <sheetName val="Other Income_Sep07"/>
      <sheetName val="Other Income_Aug07"/>
      <sheetName val="Other Income_Jul07"/>
      <sheetName val="Other Income_Jun07"/>
      <sheetName val="Other Income_May07"/>
      <sheetName val="Other Income_Apr07"/>
      <sheetName val="Other Income_Mar07"/>
      <sheetName val="Other Income_Feb07"/>
      <sheetName val="Other Income_Jan07"/>
      <sheetName val="Comparison-Other Income_YTD"/>
      <sheetName val="Comparison-Other Income_Dec07"/>
      <sheetName val="Comparison-Other Income_Nov07"/>
      <sheetName val="Comparison-Other Income_Oct07"/>
      <sheetName val="Comparison-Other Income_Sep07"/>
      <sheetName val="Comparison-Other Income_Aug07"/>
      <sheetName val="Comparison-Other Income_Jul07"/>
      <sheetName val="Comparison-Other Income_Jun07"/>
      <sheetName val="Comparison-Other Income_May07"/>
      <sheetName val="Comparison-Other Income_Apr07"/>
      <sheetName val="Comparison-Other Income_Mar07"/>
      <sheetName val="Comparison-Other Income_Feb07"/>
      <sheetName val="Comparison-Other Income_Jan07"/>
      <sheetName val="Sale by product_YTD"/>
      <sheetName val="OPS7"/>
      <sheetName val="OPS6"/>
      <sheetName val="OPS5"/>
      <sheetName val="OPS4"/>
      <sheetName val="OPS3"/>
      <sheetName val="OPS2"/>
      <sheetName val="OPS1"/>
      <sheetName val="Sales-INB"/>
      <sheetName val="Sales-INB_Comparison by Dept"/>
      <sheetName val="EURL"/>
      <sheetName val="SELF"/>
      <sheetName val="INDO"/>
      <sheetName val="Sales-LST"/>
      <sheetName val="Sales-LST_Comparison by Dept"/>
      <sheetName val="TTL Sales-BL only"/>
      <sheetName val="TTL Sales-VIP only"/>
      <sheetName val="VIP"/>
      <sheetName val="EVE"/>
      <sheetName val="TTL Sales-DB only"/>
      <sheetName val="Sales-EVE_Comparison by Dept"/>
      <sheetName val="Total Sale-HO only"/>
      <sheetName val="Sales Comparison-HO only"/>
      <sheetName val="Sales-HOFF"/>
      <sheetName val="Sales-HCOU3"/>
      <sheetName val="Sales-HCOU2"/>
      <sheetName val="Sales-HCOU1"/>
      <sheetName val="Sales-HKT (2)"/>
      <sheetName val="Sales-HKT"/>
      <sheetName val="Sales-SOFF"/>
      <sheetName val="Sales-SCOU1"/>
      <sheetName val="Sales-SCOU2"/>
      <sheetName val="Sales-SCOU3"/>
      <sheetName val="Sales-SCOU4"/>
      <sheetName val="Sales-USM (2)"/>
      <sheetName val="Sales-USM"/>
      <sheetName val="Sales-CEI"/>
      <sheetName val="Sales Comparison-Branch"/>
      <sheetName val="Total Sales-DTT"/>
      <sheetName val="Sales-DTT"/>
      <sheetName val="CAPEX"/>
      <sheetName val="Budget2006-As Current Method "/>
      <sheetName val="BSD-Investment&amp;Xpense"/>
      <sheetName val="Balance sheet-Comparison"/>
      <sheetName val="BS by month"/>
      <sheetName val="Cash Flow"/>
      <sheetName val="Variance "/>
      <sheetName val="BS by Branch"/>
      <sheetName val="TB HKT"/>
      <sheetName val="TB SMU"/>
      <sheetName val="TB CEI"/>
      <sheetName val="TB_HO_Mar07"/>
      <sheetName val="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THB"/>
      <sheetName val="Corp-Payroll"/>
      <sheetName val="Corp-Other"/>
      <sheetName val="MSIL"/>
      <sheetName val="MSTL"/>
      <sheetName val="MSVL"/>
      <sheetName val="MSES"/>
      <sheetName val="MSEA"/>
      <sheetName val="MSID"/>
      <sheetName val="MSME"/>
      <sheetName val="ASDL"/>
      <sheetName val="MSEW"/>
      <sheetName val="MSEE"/>
      <sheetName val="MSAN"/>
      <sheetName val="MSAS"/>
      <sheetName val="MSIL-OLD"/>
      <sheetName val="MSTL-BS"/>
      <sheetName val="MSVL-BS"/>
      <sheetName val="MSTL-FAR"/>
      <sheetName val="MSES-FAR"/>
      <sheetName val="MSEA-FAR"/>
      <sheetName val="ASDL-FAR"/>
      <sheetName val="MSME-FAR"/>
      <sheetName val="MSTL-ShdrLoan"/>
      <sheetName val="MSES-ShdrLoan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1"/>
  <sheetViews>
    <sheetView topLeftCell="A4" zoomScale="90" zoomScaleNormal="90" workbookViewId="0">
      <selection activeCell="G18" sqref="G18"/>
    </sheetView>
  </sheetViews>
  <sheetFormatPr defaultRowHeight="15"/>
  <cols>
    <col min="1" max="1" width="12.140625" customWidth="1"/>
    <col min="2" max="2" width="21.7109375" bestFit="1" customWidth="1"/>
    <col min="3" max="3" width="14.28515625" customWidth="1"/>
    <col min="4" max="4" width="57" bestFit="1" customWidth="1"/>
  </cols>
  <sheetData>
    <row r="1" spans="1:4">
      <c r="A1" s="182" t="s">
        <v>0</v>
      </c>
      <c r="B1" s="182"/>
      <c r="C1" s="182"/>
      <c r="D1" s="182"/>
    </row>
    <row r="2" spans="1:4">
      <c r="A2" s="183" t="s">
        <v>1</v>
      </c>
      <c r="B2" s="183"/>
      <c r="C2" s="183"/>
      <c r="D2" s="5" t="s">
        <v>271</v>
      </c>
    </row>
    <row r="3" spans="1:4">
      <c r="A3" s="183" t="s">
        <v>2</v>
      </c>
      <c r="B3" s="183"/>
      <c r="C3" s="183"/>
      <c r="D3" s="1" t="s">
        <v>3</v>
      </c>
    </row>
    <row r="4" spans="1:4" ht="30">
      <c r="A4" s="183" t="s">
        <v>4</v>
      </c>
      <c r="B4" s="183" t="s">
        <v>5</v>
      </c>
      <c r="C4" s="2" t="s">
        <v>6</v>
      </c>
      <c r="D4" s="3" t="s">
        <v>7</v>
      </c>
    </row>
    <row r="5" spans="1:4">
      <c r="A5" s="183"/>
      <c r="B5" s="183"/>
      <c r="C5" s="2" t="s">
        <v>8</v>
      </c>
      <c r="D5" s="1" t="s">
        <v>9</v>
      </c>
    </row>
    <row r="6" spans="1:4" ht="30">
      <c r="A6" s="183"/>
      <c r="B6" s="183" t="s">
        <v>87</v>
      </c>
      <c r="C6" s="4" t="s">
        <v>11</v>
      </c>
      <c r="D6" s="3" t="s">
        <v>12</v>
      </c>
    </row>
    <row r="7" spans="1:4">
      <c r="A7" s="183"/>
      <c r="B7" s="183"/>
      <c r="C7" s="4" t="s">
        <v>8</v>
      </c>
      <c r="D7" s="1" t="s">
        <v>13</v>
      </c>
    </row>
    <row r="8" spans="1:4" ht="45">
      <c r="A8" s="183"/>
      <c r="B8" s="183" t="s">
        <v>14</v>
      </c>
      <c r="C8" s="4" t="s">
        <v>6</v>
      </c>
      <c r="D8" s="3" t="s">
        <v>15</v>
      </c>
    </row>
    <row r="9" spans="1:4">
      <c r="A9" s="183"/>
      <c r="B9" s="183"/>
      <c r="C9" s="4" t="s">
        <v>8</v>
      </c>
      <c r="D9" s="1" t="s">
        <v>16</v>
      </c>
    </row>
    <row r="10" spans="1:4" ht="30">
      <c r="A10" s="183"/>
      <c r="B10" s="183" t="s">
        <v>88</v>
      </c>
      <c r="C10" s="4" t="s">
        <v>6</v>
      </c>
      <c r="D10" s="3" t="s">
        <v>17</v>
      </c>
    </row>
    <row r="11" spans="1:4">
      <c r="A11" s="183"/>
      <c r="B11" s="183"/>
      <c r="C11" s="4" t="s">
        <v>8</v>
      </c>
      <c r="D11" s="3" t="s">
        <v>18</v>
      </c>
    </row>
    <row r="12" spans="1:4" ht="45">
      <c r="A12" s="183"/>
      <c r="B12" s="183" t="s">
        <v>89</v>
      </c>
      <c r="C12" s="4" t="s">
        <v>6</v>
      </c>
      <c r="D12" s="3" t="s">
        <v>90</v>
      </c>
    </row>
    <row r="13" spans="1:4">
      <c r="A13" s="183"/>
      <c r="B13" s="183"/>
      <c r="C13" s="4" t="s">
        <v>8</v>
      </c>
      <c r="D13" s="3" t="s">
        <v>19</v>
      </c>
    </row>
    <row r="14" spans="1:4">
      <c r="A14" s="190" t="s">
        <v>20</v>
      </c>
      <c r="B14" s="191"/>
      <c r="C14" s="192"/>
      <c r="D14" s="1" t="s">
        <v>21</v>
      </c>
    </row>
    <row r="15" spans="1:4">
      <c r="A15" s="193" t="s">
        <v>22</v>
      </c>
      <c r="B15" s="193"/>
      <c r="C15" s="193"/>
      <c r="D15" s="29" t="s">
        <v>23</v>
      </c>
    </row>
    <row r="16" spans="1:4" ht="18" customHeight="1">
      <c r="A16" s="184" t="s">
        <v>269</v>
      </c>
      <c r="B16" s="185"/>
      <c r="C16" s="174" t="s">
        <v>24</v>
      </c>
      <c r="D16" s="175" t="s">
        <v>25</v>
      </c>
    </row>
    <row r="17" spans="1:4">
      <c r="A17" s="186"/>
      <c r="B17" s="187"/>
      <c r="C17" s="174"/>
      <c r="D17" s="175"/>
    </row>
    <row r="18" spans="1:4">
      <c r="A18" s="186"/>
      <c r="B18" s="187"/>
      <c r="C18" s="174" t="s">
        <v>131</v>
      </c>
      <c r="D18" s="175" t="s">
        <v>138</v>
      </c>
    </row>
    <row r="19" spans="1:4">
      <c r="A19" s="186"/>
      <c r="B19" s="187"/>
      <c r="C19" s="174"/>
      <c r="D19" s="175"/>
    </row>
    <row r="20" spans="1:4">
      <c r="A20" s="186"/>
      <c r="B20" s="187"/>
      <c r="C20" s="174" t="s">
        <v>14</v>
      </c>
      <c r="D20" s="175" t="s">
        <v>26</v>
      </c>
    </row>
    <row r="21" spans="1:4">
      <c r="A21" s="186"/>
      <c r="B21" s="187"/>
      <c r="C21" s="174"/>
      <c r="D21" s="175"/>
    </row>
    <row r="22" spans="1:4">
      <c r="A22" s="186"/>
      <c r="B22" s="187"/>
      <c r="C22" s="174" t="s">
        <v>14</v>
      </c>
      <c r="D22" s="175" t="s">
        <v>93</v>
      </c>
    </row>
    <row r="23" spans="1:4">
      <c r="A23" s="186"/>
      <c r="B23" s="187"/>
      <c r="C23" s="174"/>
      <c r="D23" s="175"/>
    </row>
    <row r="24" spans="1:4">
      <c r="A24" s="186"/>
      <c r="B24" s="187"/>
      <c r="C24" s="174" t="s">
        <v>136</v>
      </c>
      <c r="D24" s="175" t="s">
        <v>276</v>
      </c>
    </row>
    <row r="25" spans="1:4">
      <c r="A25" s="186"/>
      <c r="B25" s="187"/>
      <c r="C25" s="174"/>
      <c r="D25" s="175"/>
    </row>
    <row r="26" spans="1:4" ht="18" customHeight="1">
      <c r="A26" s="186"/>
      <c r="B26" s="187"/>
      <c r="C26" s="174" t="s">
        <v>87</v>
      </c>
      <c r="D26" s="175" t="s">
        <v>91</v>
      </c>
    </row>
    <row r="27" spans="1:4">
      <c r="A27" s="186"/>
      <c r="B27" s="187"/>
      <c r="C27" s="174"/>
      <c r="D27" s="175"/>
    </row>
    <row r="28" spans="1:4">
      <c r="A28" s="186"/>
      <c r="B28" s="187"/>
      <c r="C28" s="174" t="s">
        <v>87</v>
      </c>
      <c r="D28" s="175" t="s">
        <v>28</v>
      </c>
    </row>
    <row r="29" spans="1:4">
      <c r="A29" s="186"/>
      <c r="B29" s="187"/>
      <c r="C29" s="174"/>
      <c r="D29" s="175"/>
    </row>
    <row r="30" spans="1:4" ht="18" customHeight="1">
      <c r="A30" s="186"/>
      <c r="B30" s="187"/>
      <c r="C30" s="174" t="s">
        <v>134</v>
      </c>
      <c r="D30" s="175" t="s">
        <v>139</v>
      </c>
    </row>
    <row r="31" spans="1:4">
      <c r="A31" s="186"/>
      <c r="B31" s="187"/>
      <c r="C31" s="174"/>
      <c r="D31" s="175"/>
    </row>
    <row r="32" spans="1:4">
      <c r="A32" s="186"/>
      <c r="B32" s="187"/>
      <c r="C32" s="174" t="s">
        <v>134</v>
      </c>
      <c r="D32" s="175" t="s">
        <v>140</v>
      </c>
    </row>
    <row r="33" spans="1:4">
      <c r="A33" s="186"/>
      <c r="B33" s="187"/>
      <c r="C33" s="174"/>
      <c r="D33" s="175"/>
    </row>
    <row r="34" spans="1:4" ht="18" customHeight="1">
      <c r="A34" s="186"/>
      <c r="B34" s="187"/>
      <c r="C34" s="174" t="s">
        <v>87</v>
      </c>
      <c r="D34" s="175" t="s">
        <v>29</v>
      </c>
    </row>
    <row r="35" spans="1:4">
      <c r="A35" s="186"/>
      <c r="B35" s="187"/>
      <c r="C35" s="174"/>
      <c r="D35" s="175"/>
    </row>
    <row r="36" spans="1:4" ht="18" customHeight="1">
      <c r="A36" s="186"/>
      <c r="B36" s="187"/>
      <c r="C36" s="174" t="s">
        <v>87</v>
      </c>
      <c r="D36" s="175" t="s">
        <v>30</v>
      </c>
    </row>
    <row r="37" spans="1:4">
      <c r="A37" s="186"/>
      <c r="B37" s="187"/>
      <c r="C37" s="174"/>
      <c r="D37" s="175"/>
    </row>
    <row r="38" spans="1:4" ht="18" customHeight="1">
      <c r="A38" s="186"/>
      <c r="B38" s="187"/>
      <c r="C38" s="174" t="s">
        <v>87</v>
      </c>
      <c r="D38" s="175" t="s">
        <v>31</v>
      </c>
    </row>
    <row r="39" spans="1:4">
      <c r="A39" s="186"/>
      <c r="B39" s="187"/>
      <c r="C39" s="174"/>
      <c r="D39" s="175"/>
    </row>
    <row r="40" spans="1:4">
      <c r="A40" s="186"/>
      <c r="B40" s="187"/>
      <c r="C40" s="174" t="s">
        <v>87</v>
      </c>
      <c r="D40" s="175" t="s">
        <v>92</v>
      </c>
    </row>
    <row r="41" spans="1:4">
      <c r="A41" s="186"/>
      <c r="B41" s="187"/>
      <c r="C41" s="174"/>
      <c r="D41" s="175"/>
    </row>
    <row r="42" spans="1:4">
      <c r="A42" s="186"/>
      <c r="B42" s="187"/>
      <c r="C42" s="174" t="s">
        <v>10</v>
      </c>
      <c r="D42" s="175" t="s">
        <v>33</v>
      </c>
    </row>
    <row r="43" spans="1:4">
      <c r="A43" s="186"/>
      <c r="B43" s="187"/>
      <c r="C43" s="174"/>
      <c r="D43" s="175"/>
    </row>
    <row r="44" spans="1:4">
      <c r="A44" s="186"/>
      <c r="B44" s="187"/>
      <c r="C44" s="174" t="s">
        <v>95</v>
      </c>
      <c r="D44" s="175" t="s">
        <v>94</v>
      </c>
    </row>
    <row r="45" spans="1:4">
      <c r="A45" s="186"/>
      <c r="B45" s="187"/>
      <c r="C45" s="174"/>
      <c r="D45" s="175"/>
    </row>
    <row r="46" spans="1:4">
      <c r="A46" s="186"/>
      <c r="B46" s="187"/>
      <c r="C46" s="174" t="s">
        <v>95</v>
      </c>
      <c r="D46" s="175" t="s">
        <v>100</v>
      </c>
    </row>
    <row r="47" spans="1:4">
      <c r="A47" s="186"/>
      <c r="B47" s="187"/>
      <c r="C47" s="174"/>
      <c r="D47" s="175"/>
    </row>
    <row r="48" spans="1:4">
      <c r="A48" s="186"/>
      <c r="B48" s="187"/>
      <c r="C48" s="174" t="s">
        <v>95</v>
      </c>
      <c r="D48" s="175" t="s">
        <v>130</v>
      </c>
    </row>
    <row r="49" spans="1:4">
      <c r="A49" s="186"/>
      <c r="B49" s="187"/>
      <c r="C49" s="174"/>
      <c r="D49" s="175"/>
    </row>
    <row r="50" spans="1:4">
      <c r="A50" s="186"/>
      <c r="B50" s="187"/>
      <c r="C50" s="174" t="s">
        <v>95</v>
      </c>
      <c r="D50" s="175" t="s">
        <v>170</v>
      </c>
    </row>
    <row r="51" spans="1:4">
      <c r="A51" s="186"/>
      <c r="B51" s="187"/>
      <c r="C51" s="174"/>
      <c r="D51" s="175"/>
    </row>
    <row r="52" spans="1:4">
      <c r="A52" s="186"/>
      <c r="B52" s="187"/>
      <c r="C52" s="174" t="s">
        <v>136</v>
      </c>
      <c r="D52" s="175" t="s">
        <v>137</v>
      </c>
    </row>
    <row r="53" spans="1:4">
      <c r="A53" s="186"/>
      <c r="B53" s="187"/>
      <c r="C53" s="174"/>
      <c r="D53" s="175"/>
    </row>
    <row r="54" spans="1:4" ht="18" customHeight="1">
      <c r="A54" s="186"/>
      <c r="B54" s="187"/>
      <c r="C54" s="174" t="s">
        <v>10</v>
      </c>
      <c r="D54" s="175" t="s">
        <v>273</v>
      </c>
    </row>
    <row r="55" spans="1:4">
      <c r="A55" s="186"/>
      <c r="B55" s="187"/>
      <c r="C55" s="174"/>
      <c r="D55" s="175"/>
    </row>
    <row r="56" spans="1:4" ht="18" customHeight="1">
      <c r="A56" s="186"/>
      <c r="B56" s="187"/>
      <c r="C56" s="174" t="s">
        <v>95</v>
      </c>
      <c r="D56" s="175" t="s">
        <v>250</v>
      </c>
    </row>
    <row r="57" spans="1:4">
      <c r="A57" s="186"/>
      <c r="B57" s="187"/>
      <c r="C57" s="174"/>
      <c r="D57" s="175"/>
    </row>
    <row r="58" spans="1:4">
      <c r="A58" s="186"/>
      <c r="B58" s="187"/>
      <c r="C58" s="174" t="s">
        <v>132</v>
      </c>
      <c r="D58" s="175" t="s">
        <v>182</v>
      </c>
    </row>
    <row r="59" spans="1:4">
      <c r="A59" s="186"/>
      <c r="B59" s="187"/>
      <c r="C59" s="174"/>
      <c r="D59" s="175"/>
    </row>
    <row r="60" spans="1:4">
      <c r="A60" s="186"/>
      <c r="B60" s="187"/>
      <c r="C60" s="174" t="s">
        <v>95</v>
      </c>
      <c r="D60" s="175" t="s">
        <v>272</v>
      </c>
    </row>
    <row r="61" spans="1:4">
      <c r="A61" s="186"/>
      <c r="B61" s="187"/>
      <c r="C61" s="174"/>
      <c r="D61" s="175"/>
    </row>
    <row r="62" spans="1:4">
      <c r="A62" s="186"/>
      <c r="B62" s="187"/>
      <c r="C62" s="174" t="s">
        <v>136</v>
      </c>
      <c r="D62" s="175" t="s">
        <v>275</v>
      </c>
    </row>
    <row r="63" spans="1:4">
      <c r="A63" s="186"/>
      <c r="B63" s="187"/>
      <c r="C63" s="174"/>
      <c r="D63" s="175"/>
    </row>
    <row r="64" spans="1:4">
      <c r="A64" s="186"/>
      <c r="B64" s="187"/>
      <c r="C64" s="174" t="s">
        <v>86</v>
      </c>
      <c r="D64" s="175" t="s">
        <v>274</v>
      </c>
    </row>
    <row r="65" spans="1:4">
      <c r="A65" s="186"/>
      <c r="B65" s="187"/>
      <c r="C65" s="174"/>
      <c r="D65" s="175"/>
    </row>
    <row r="66" spans="1:4">
      <c r="A66" s="186"/>
      <c r="B66" s="187"/>
      <c r="C66" s="174" t="s">
        <v>86</v>
      </c>
      <c r="D66" s="175" t="s">
        <v>129</v>
      </c>
    </row>
    <row r="67" spans="1:4">
      <c r="A67" s="186"/>
      <c r="B67" s="187"/>
      <c r="C67" s="174"/>
      <c r="D67" s="175"/>
    </row>
    <row r="68" spans="1:4" ht="18" customHeight="1">
      <c r="A68" s="186"/>
      <c r="B68" s="187"/>
      <c r="C68" s="172" t="s">
        <v>86</v>
      </c>
      <c r="D68" s="180" t="s">
        <v>181</v>
      </c>
    </row>
    <row r="69" spans="1:4">
      <c r="A69" s="188"/>
      <c r="B69" s="189"/>
      <c r="C69" s="173"/>
      <c r="D69" s="181"/>
    </row>
    <row r="70" spans="1:4">
      <c r="A70" s="177" t="s">
        <v>34</v>
      </c>
      <c r="B70" s="178"/>
      <c r="C70" s="179"/>
      <c r="D70" s="148"/>
    </row>
    <row r="71" spans="1:4" ht="68.45" customHeight="1">
      <c r="A71" s="176" t="s">
        <v>35</v>
      </c>
      <c r="B71" s="176"/>
      <c r="C71" s="176"/>
      <c r="D71" s="149" t="s">
        <v>36</v>
      </c>
    </row>
  </sheetData>
  <mergeCells count="68">
    <mergeCell ref="A16:B69"/>
    <mergeCell ref="C50:C51"/>
    <mergeCell ref="D50:D51"/>
    <mergeCell ref="D60:D61"/>
    <mergeCell ref="A14:C14"/>
    <mergeCell ref="A15:C15"/>
    <mergeCell ref="D24:D25"/>
    <mergeCell ref="C54:C55"/>
    <mergeCell ref="D54:D55"/>
    <mergeCell ref="C52:C53"/>
    <mergeCell ref="D52:D53"/>
    <mergeCell ref="C30:C31"/>
    <mergeCell ref="D30:D31"/>
    <mergeCell ref="C32:C33"/>
    <mergeCell ref="D32:D33"/>
    <mergeCell ref="C34:C35"/>
    <mergeCell ref="A1:D1"/>
    <mergeCell ref="A2:C2"/>
    <mergeCell ref="A3:C3"/>
    <mergeCell ref="A4:A13"/>
    <mergeCell ref="B4:B5"/>
    <mergeCell ref="B6:B7"/>
    <mergeCell ref="B8:B9"/>
    <mergeCell ref="B10:B11"/>
    <mergeCell ref="B12:B13"/>
    <mergeCell ref="C16:C17"/>
    <mergeCell ref="D16:D17"/>
    <mergeCell ref="C36:C37"/>
    <mergeCell ref="D36:D37"/>
    <mergeCell ref="C28:C29"/>
    <mergeCell ref="D28:D29"/>
    <mergeCell ref="C22:C23"/>
    <mergeCell ref="D22:D23"/>
    <mergeCell ref="D26:D27"/>
    <mergeCell ref="D34:D35"/>
    <mergeCell ref="C18:C19"/>
    <mergeCell ref="D18:D19"/>
    <mergeCell ref="A71:C71"/>
    <mergeCell ref="C38:C39"/>
    <mergeCell ref="D38:D39"/>
    <mergeCell ref="C40:C41"/>
    <mergeCell ref="D40:D41"/>
    <mergeCell ref="C44:C45"/>
    <mergeCell ref="D44:D45"/>
    <mergeCell ref="C42:C43"/>
    <mergeCell ref="D42:D43"/>
    <mergeCell ref="C46:C47"/>
    <mergeCell ref="D46:D47"/>
    <mergeCell ref="C48:C49"/>
    <mergeCell ref="C62:C63"/>
    <mergeCell ref="D62:D63"/>
    <mergeCell ref="A70:C70"/>
    <mergeCell ref="D68:D69"/>
    <mergeCell ref="C68:C69"/>
    <mergeCell ref="C20:C21"/>
    <mergeCell ref="D20:D21"/>
    <mergeCell ref="C24:C25"/>
    <mergeCell ref="C26:C27"/>
    <mergeCell ref="C66:C67"/>
    <mergeCell ref="D66:D67"/>
    <mergeCell ref="D56:D57"/>
    <mergeCell ref="C56:C57"/>
    <mergeCell ref="C58:C59"/>
    <mergeCell ref="D58:D59"/>
    <mergeCell ref="C60:C61"/>
    <mergeCell ref="C64:C65"/>
    <mergeCell ref="D64:D65"/>
    <mergeCell ref="D48:D49"/>
  </mergeCells>
  <phoneticPr fontId="3"/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45982-698F-4BEE-93EB-A73E11EBA3FC}">
  <dimension ref="B2:F14"/>
  <sheetViews>
    <sheetView workbookViewId="0">
      <selection activeCell="F15" sqref="F15"/>
    </sheetView>
  </sheetViews>
  <sheetFormatPr defaultRowHeight="15"/>
  <cols>
    <col min="3" max="3" width="18.42578125" bestFit="1" customWidth="1"/>
    <col min="4" max="4" width="8.7109375" style="72"/>
    <col min="5" max="5" width="94.28515625" customWidth="1"/>
  </cols>
  <sheetData>
    <row r="2" spans="2:6" ht="15.75" thickBot="1"/>
    <row r="3" spans="2:6" s="150" customFormat="1" ht="15.75" thickBot="1">
      <c r="B3" s="155" t="s">
        <v>253</v>
      </c>
      <c r="C3" s="156" t="s">
        <v>254</v>
      </c>
      <c r="D3" s="157" t="s">
        <v>255</v>
      </c>
      <c r="E3" s="158" t="s">
        <v>256</v>
      </c>
    </row>
    <row r="4" spans="2:6" ht="15.75" thickTop="1">
      <c r="B4" s="151" t="s">
        <v>251</v>
      </c>
      <c r="C4" s="77" t="s">
        <v>252</v>
      </c>
      <c r="D4" s="78">
        <v>111905</v>
      </c>
      <c r="E4" s="152" t="s">
        <v>260</v>
      </c>
    </row>
    <row r="5" spans="2:6">
      <c r="B5" s="151"/>
      <c r="C5" s="77" t="s">
        <v>257</v>
      </c>
      <c r="D5" s="78">
        <v>102273</v>
      </c>
      <c r="E5" s="152" t="s">
        <v>262</v>
      </c>
    </row>
    <row r="6" spans="2:6">
      <c r="B6" s="159" t="s">
        <v>258</v>
      </c>
      <c r="C6" s="1" t="s">
        <v>259</v>
      </c>
      <c r="D6" s="160">
        <v>54545</v>
      </c>
      <c r="E6" s="161" t="s">
        <v>261</v>
      </c>
    </row>
    <row r="7" spans="2:6">
      <c r="B7" s="151" t="s">
        <v>263</v>
      </c>
      <c r="C7" s="77" t="s">
        <v>252</v>
      </c>
      <c r="D7" s="78">
        <v>270611</v>
      </c>
      <c r="E7" s="152" t="s">
        <v>265</v>
      </c>
    </row>
    <row r="8" spans="2:6">
      <c r="B8" s="151"/>
      <c r="C8" s="77"/>
      <c r="D8" s="78"/>
      <c r="E8" s="152" t="s">
        <v>264</v>
      </c>
    </row>
    <row r="9" spans="2:6">
      <c r="B9" s="151"/>
      <c r="C9" s="77"/>
      <c r="D9" s="78"/>
      <c r="E9" s="152" t="s">
        <v>266</v>
      </c>
    </row>
    <row r="10" spans="2:6" ht="15.75" thickBot="1">
      <c r="B10" s="153"/>
      <c r="C10" s="81" t="s">
        <v>267</v>
      </c>
      <c r="D10" s="82">
        <v>312400</v>
      </c>
      <c r="E10" s="154" t="s">
        <v>268</v>
      </c>
    </row>
    <row r="13" spans="2:6">
      <c r="F13">
        <f>470000*0.57</f>
        <v>267900</v>
      </c>
    </row>
    <row r="14" spans="2:6">
      <c r="F14">
        <f>12/21</f>
        <v>0.5714285714285714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64"/>
  <sheetViews>
    <sheetView view="pageBreakPreview" topLeftCell="A9" zoomScaleNormal="100" zoomScaleSheetLayoutView="100" workbookViewId="0">
      <selection activeCell="E16" sqref="E16"/>
    </sheetView>
  </sheetViews>
  <sheetFormatPr defaultColWidth="8.140625" defaultRowHeight="12"/>
  <cols>
    <col min="1" max="1" width="3.85546875" style="6" customWidth="1"/>
    <col min="2" max="2" width="14.140625" style="6" customWidth="1"/>
    <col min="3" max="3" width="5.28515625" style="103" customWidth="1"/>
    <col min="4" max="4" width="8.42578125" style="6" customWidth="1"/>
    <col min="5" max="5" width="13.28515625" style="6" customWidth="1"/>
    <col min="6" max="6" width="5.7109375" style="6" customWidth="1"/>
    <col min="7" max="7" width="21.85546875" style="64" customWidth="1"/>
    <col min="8" max="8" width="5.28515625" style="6" customWidth="1"/>
    <col min="9" max="9" width="8.7109375" style="6" customWidth="1"/>
    <col min="10" max="10" width="8.42578125" style="6" customWidth="1"/>
    <col min="11" max="11" width="15.42578125" style="70" bestFit="1" customWidth="1"/>
    <col min="12" max="12" width="8.5703125" style="6" bestFit="1" customWidth="1"/>
    <col min="13" max="16384" width="8.140625" style="6"/>
  </cols>
  <sheetData>
    <row r="1" spans="1:10" ht="20.100000000000001" customHeight="1">
      <c r="A1" s="203">
        <v>45565</v>
      </c>
      <c r="B1" s="203"/>
      <c r="C1" s="203"/>
      <c r="D1" s="203"/>
      <c r="E1" s="203"/>
      <c r="F1" s="203"/>
      <c r="G1" s="203"/>
      <c r="H1" s="203"/>
      <c r="I1" s="203"/>
      <c r="J1" s="203"/>
    </row>
    <row r="2" spans="1:10" ht="20.100000000000001" customHeight="1">
      <c r="A2" s="30"/>
      <c r="B2" s="31"/>
      <c r="C2" s="101"/>
      <c r="D2" s="31"/>
      <c r="E2" s="31"/>
      <c r="F2" s="31"/>
      <c r="G2" s="32"/>
      <c r="H2" s="31"/>
      <c r="I2" s="32"/>
      <c r="J2" s="33"/>
    </row>
    <row r="3" spans="1:10" ht="18.75" customHeight="1">
      <c r="A3" s="7"/>
      <c r="B3" s="7"/>
      <c r="C3" s="102"/>
      <c r="D3" s="7"/>
      <c r="E3" s="7"/>
      <c r="F3" s="7"/>
      <c r="G3" s="62"/>
      <c r="H3" s="7"/>
      <c r="I3" s="7"/>
      <c r="J3" s="8"/>
    </row>
    <row r="4" spans="1:10" ht="15" customHeight="1">
      <c r="A4" s="6" t="s">
        <v>37</v>
      </c>
      <c r="G4" s="63"/>
      <c r="H4" s="204">
        <v>45679</v>
      </c>
      <c r="I4" s="204"/>
      <c r="J4" s="204"/>
    </row>
    <row r="5" spans="1:10" ht="15" customHeight="1">
      <c r="A5" s="9"/>
      <c r="B5" s="9"/>
      <c r="C5" s="104"/>
      <c r="D5" s="9"/>
      <c r="E5" s="9"/>
      <c r="F5" s="9"/>
    </row>
    <row r="6" spans="1:10" ht="20.100000000000001" customHeight="1">
      <c r="A6" s="6" t="s">
        <v>42</v>
      </c>
      <c r="G6" s="25"/>
      <c r="H6" s="26"/>
      <c r="I6" s="26"/>
      <c r="J6" s="26"/>
    </row>
    <row r="7" spans="1:10" ht="20.100000000000001" customHeight="1">
      <c r="B7" s="205" t="s">
        <v>38</v>
      </c>
      <c r="C7" s="205"/>
      <c r="D7" s="205"/>
      <c r="E7" s="205"/>
      <c r="F7" s="205"/>
      <c r="G7" s="206"/>
      <c r="H7" s="206"/>
      <c r="I7" s="206"/>
      <c r="J7" s="206"/>
    </row>
    <row r="8" spans="1:10" ht="12.95" customHeight="1"/>
    <row r="9" spans="1:10" ht="15" customHeight="1">
      <c r="A9" s="6">
        <v>1</v>
      </c>
      <c r="B9" s="6" t="s">
        <v>43</v>
      </c>
      <c r="C9" s="6" t="s">
        <v>240</v>
      </c>
      <c r="G9" s="65"/>
      <c r="H9" s="22"/>
      <c r="I9" s="23"/>
      <c r="J9" s="23"/>
    </row>
    <row r="10" spans="1:10" ht="12.95" customHeight="1"/>
    <row r="11" spans="1:10" ht="15" customHeight="1"/>
    <row r="12" spans="1:10" ht="15" customHeight="1" thickBot="1">
      <c r="A12" s="6">
        <v>2</v>
      </c>
      <c r="B12" s="6" t="s">
        <v>44</v>
      </c>
      <c r="J12" s="10" t="s">
        <v>45</v>
      </c>
    </row>
    <row r="13" spans="1:10" ht="42.6" customHeight="1" thickBot="1">
      <c r="B13" s="11" t="s">
        <v>39</v>
      </c>
      <c r="C13" s="105" t="s">
        <v>46</v>
      </c>
      <c r="D13" s="13" t="s">
        <v>47</v>
      </c>
      <c r="E13" s="21" t="s">
        <v>48</v>
      </c>
      <c r="F13" s="34" t="s">
        <v>49</v>
      </c>
      <c r="G13" s="16" t="s">
        <v>50</v>
      </c>
      <c r="H13" s="207" t="s">
        <v>51</v>
      </c>
      <c r="I13" s="208"/>
      <c r="J13" s="209"/>
    </row>
    <row r="14" spans="1:10" ht="13.5" customHeight="1">
      <c r="B14" s="210" t="s">
        <v>25</v>
      </c>
      <c r="C14" s="211" t="s">
        <v>52</v>
      </c>
      <c r="D14" s="28" t="s">
        <v>53</v>
      </c>
      <c r="E14" s="36">
        <v>600000</v>
      </c>
      <c r="F14" s="213">
        <v>0</v>
      </c>
      <c r="G14" s="215" t="s">
        <v>224</v>
      </c>
      <c r="H14" s="197">
        <f>E14</f>
        <v>600000</v>
      </c>
      <c r="I14" s="198"/>
      <c r="J14" s="199"/>
    </row>
    <row r="15" spans="1:10" ht="15" customHeight="1">
      <c r="B15" s="210"/>
      <c r="C15" s="212"/>
      <c r="D15" s="18" t="s">
        <v>54</v>
      </c>
      <c r="E15" s="37"/>
      <c r="F15" s="214"/>
      <c r="G15" s="216"/>
      <c r="H15" s="200"/>
      <c r="I15" s="201"/>
      <c r="J15" s="202"/>
    </row>
    <row r="16" spans="1:10" ht="13.5" customHeight="1">
      <c r="B16" s="217" t="s">
        <v>141</v>
      </c>
      <c r="C16" s="211" t="s">
        <v>143</v>
      </c>
      <c r="D16" s="17" t="s">
        <v>53</v>
      </c>
      <c r="E16" s="35"/>
      <c r="F16" s="20"/>
      <c r="G16" s="219" t="s">
        <v>243</v>
      </c>
      <c r="H16" s="197">
        <f t="shared" ref="H16" si="0">E16</f>
        <v>0</v>
      </c>
      <c r="I16" s="198"/>
      <c r="J16" s="199"/>
    </row>
    <row r="17" spans="2:10" ht="13.5" customHeight="1">
      <c r="B17" s="218"/>
      <c r="C17" s="212"/>
      <c r="D17" s="18" t="s">
        <v>54</v>
      </c>
      <c r="E17" s="17"/>
      <c r="F17" s="15">
        <v>0</v>
      </c>
      <c r="G17" s="219"/>
      <c r="H17" s="200"/>
      <c r="I17" s="201"/>
      <c r="J17" s="202"/>
    </row>
    <row r="18" spans="2:10" ht="13.5" customHeight="1">
      <c r="B18" s="217" t="s">
        <v>26</v>
      </c>
      <c r="C18" s="211" t="s">
        <v>55</v>
      </c>
      <c r="D18" s="17" t="s">
        <v>53</v>
      </c>
      <c r="E18" s="35"/>
      <c r="F18" s="20"/>
      <c r="G18" s="220" t="s">
        <v>225</v>
      </c>
      <c r="H18" s="197">
        <f t="shared" ref="H18" si="1">E18</f>
        <v>0</v>
      </c>
      <c r="I18" s="198"/>
      <c r="J18" s="199"/>
    </row>
    <row r="19" spans="2:10" ht="13.5" customHeight="1">
      <c r="B19" s="218"/>
      <c r="C19" s="212"/>
      <c r="D19" s="18" t="s">
        <v>54</v>
      </c>
      <c r="E19" s="17"/>
      <c r="F19" s="15">
        <v>0</v>
      </c>
      <c r="G19" s="220"/>
      <c r="H19" s="200"/>
      <c r="I19" s="201"/>
      <c r="J19" s="202"/>
    </row>
    <row r="20" spans="2:10" ht="13.5" customHeight="1">
      <c r="B20" s="217" t="s">
        <v>93</v>
      </c>
      <c r="C20" s="211" t="s">
        <v>55</v>
      </c>
      <c r="D20" s="17" t="s">
        <v>53</v>
      </c>
      <c r="E20" s="35"/>
      <c r="F20" s="20"/>
      <c r="G20" s="220" t="s">
        <v>226</v>
      </c>
      <c r="H20" s="197">
        <f t="shared" ref="H20" si="2">E20</f>
        <v>0</v>
      </c>
      <c r="I20" s="198"/>
      <c r="J20" s="199"/>
    </row>
    <row r="21" spans="2:10" ht="14.45" customHeight="1">
      <c r="B21" s="218"/>
      <c r="C21" s="212"/>
      <c r="D21" s="18" t="s">
        <v>54</v>
      </c>
      <c r="E21" s="17"/>
      <c r="F21" s="15">
        <v>0</v>
      </c>
      <c r="G21" s="220"/>
      <c r="H21" s="200"/>
      <c r="I21" s="201"/>
      <c r="J21" s="202"/>
    </row>
    <row r="22" spans="2:10" ht="13.5" customHeight="1">
      <c r="B22" s="217" t="s">
        <v>133</v>
      </c>
      <c r="C22" s="211" t="s">
        <v>142</v>
      </c>
      <c r="D22" s="17" t="s">
        <v>53</v>
      </c>
      <c r="E22" s="35"/>
      <c r="F22" s="14"/>
      <c r="G22" s="196" t="s">
        <v>242</v>
      </c>
      <c r="H22" s="197">
        <f>E22*5/21</f>
        <v>0</v>
      </c>
      <c r="I22" s="198"/>
      <c r="J22" s="199"/>
    </row>
    <row r="23" spans="2:10" ht="13.5" customHeight="1">
      <c r="B23" s="218"/>
      <c r="C23" s="212"/>
      <c r="D23" s="18" t="s">
        <v>54</v>
      </c>
      <c r="E23" s="17"/>
      <c r="F23" s="15">
        <v>0</v>
      </c>
      <c r="G23" s="196"/>
      <c r="H23" s="200"/>
      <c r="I23" s="201"/>
      <c r="J23" s="202"/>
    </row>
    <row r="24" spans="2:10" ht="13.5" customHeight="1">
      <c r="B24" s="217" t="s">
        <v>145</v>
      </c>
      <c r="C24" s="211" t="s">
        <v>144</v>
      </c>
      <c r="D24" s="17" t="s">
        <v>53</v>
      </c>
      <c r="E24" s="35"/>
      <c r="F24" s="14"/>
      <c r="G24" s="196" t="s">
        <v>244</v>
      </c>
      <c r="H24" s="197">
        <f t="shared" ref="H24" si="3">E24</f>
        <v>0</v>
      </c>
      <c r="I24" s="198"/>
      <c r="J24" s="199"/>
    </row>
    <row r="25" spans="2:10" ht="13.5" customHeight="1">
      <c r="B25" s="218"/>
      <c r="C25" s="212"/>
      <c r="D25" s="18" t="s">
        <v>54</v>
      </c>
      <c r="E25" s="17"/>
      <c r="F25" s="15">
        <v>0</v>
      </c>
      <c r="G25" s="196"/>
      <c r="H25" s="200"/>
      <c r="I25" s="201"/>
      <c r="J25" s="202"/>
    </row>
    <row r="26" spans="2:10" ht="13.5" customHeight="1">
      <c r="B26" s="217" t="s">
        <v>135</v>
      </c>
      <c r="C26" s="211" t="s">
        <v>134</v>
      </c>
      <c r="D26" s="17" t="s">
        <v>53</v>
      </c>
      <c r="E26" s="35"/>
      <c r="F26" s="14"/>
      <c r="G26" s="196" t="s">
        <v>245</v>
      </c>
      <c r="H26" s="197">
        <f t="shared" ref="H26" si="4">E26</f>
        <v>0</v>
      </c>
      <c r="I26" s="198"/>
      <c r="J26" s="199"/>
    </row>
    <row r="27" spans="2:10" ht="13.5" customHeight="1">
      <c r="B27" s="218"/>
      <c r="C27" s="212"/>
      <c r="D27" s="18" t="s">
        <v>54</v>
      </c>
      <c r="E27" s="17"/>
      <c r="F27" s="15">
        <v>0</v>
      </c>
      <c r="G27" s="196"/>
      <c r="H27" s="200"/>
      <c r="I27" s="201"/>
      <c r="J27" s="202"/>
    </row>
    <row r="28" spans="2:10" ht="13.5" customHeight="1">
      <c r="B28" s="217" t="s">
        <v>27</v>
      </c>
      <c r="C28" s="221" t="s">
        <v>10</v>
      </c>
      <c r="D28" s="17" t="s">
        <v>53</v>
      </c>
      <c r="E28" s="35"/>
      <c r="F28" s="14"/>
      <c r="G28" s="196" t="s">
        <v>227</v>
      </c>
      <c r="H28" s="197">
        <f t="shared" ref="H28" si="5">E28</f>
        <v>0</v>
      </c>
      <c r="I28" s="198"/>
      <c r="J28" s="199"/>
    </row>
    <row r="29" spans="2:10" ht="13.5" customHeight="1">
      <c r="B29" s="218"/>
      <c r="C29" s="222"/>
      <c r="D29" s="18" t="s">
        <v>54</v>
      </c>
      <c r="E29" s="17"/>
      <c r="F29" s="15">
        <v>0</v>
      </c>
      <c r="G29" s="196"/>
      <c r="H29" s="200"/>
      <c r="I29" s="201"/>
      <c r="J29" s="202"/>
    </row>
    <row r="30" spans="2:10" ht="13.5" customHeight="1">
      <c r="B30" s="217" t="s">
        <v>28</v>
      </c>
      <c r="C30" s="221" t="s">
        <v>10</v>
      </c>
      <c r="D30" s="17" t="s">
        <v>53</v>
      </c>
      <c r="E30" s="35"/>
      <c r="F30" s="19"/>
      <c r="G30" s="196" t="s">
        <v>228</v>
      </c>
      <c r="H30" s="197">
        <f t="shared" ref="H30" si="6">E30</f>
        <v>0</v>
      </c>
      <c r="I30" s="198"/>
      <c r="J30" s="199"/>
    </row>
    <row r="31" spans="2:10" ht="13.5" customHeight="1">
      <c r="B31" s="210"/>
      <c r="C31" s="222"/>
      <c r="D31" s="18" t="s">
        <v>54</v>
      </c>
      <c r="E31" s="17"/>
      <c r="F31" s="18">
        <v>0</v>
      </c>
      <c r="G31" s="196"/>
      <c r="H31" s="200"/>
      <c r="I31" s="201"/>
      <c r="J31" s="202"/>
    </row>
    <row r="32" spans="2:10" ht="13.5" customHeight="1">
      <c r="B32" s="217" t="s">
        <v>29</v>
      </c>
      <c r="C32" s="221" t="s">
        <v>10</v>
      </c>
      <c r="D32" s="17" t="s">
        <v>53</v>
      </c>
      <c r="E32" s="35"/>
      <c r="F32" s="24"/>
      <c r="G32" s="196" t="s">
        <v>230</v>
      </c>
      <c r="H32" s="197">
        <f t="shared" ref="H32" si="7">E32</f>
        <v>0</v>
      </c>
      <c r="I32" s="198"/>
      <c r="J32" s="199"/>
    </row>
    <row r="33" spans="2:10" ht="13.5" customHeight="1">
      <c r="B33" s="218"/>
      <c r="C33" s="222"/>
      <c r="D33" s="18" t="s">
        <v>54</v>
      </c>
      <c r="E33" s="17"/>
      <c r="F33" s="15">
        <v>0</v>
      </c>
      <c r="G33" s="196"/>
      <c r="H33" s="200"/>
      <c r="I33" s="201"/>
      <c r="J33" s="202"/>
    </row>
    <row r="34" spans="2:10" ht="13.5" customHeight="1">
      <c r="B34" s="217" t="s">
        <v>30</v>
      </c>
      <c r="C34" s="221" t="s">
        <v>10</v>
      </c>
      <c r="D34" s="17" t="s">
        <v>53</v>
      </c>
      <c r="E34" s="35"/>
      <c r="F34" s="24"/>
      <c r="G34" s="196" t="s">
        <v>228</v>
      </c>
      <c r="H34" s="197">
        <f t="shared" ref="H34" si="8">E34</f>
        <v>0</v>
      </c>
      <c r="I34" s="198"/>
      <c r="J34" s="199"/>
    </row>
    <row r="35" spans="2:10" ht="13.5" customHeight="1">
      <c r="B35" s="218"/>
      <c r="C35" s="222"/>
      <c r="D35" s="18" t="s">
        <v>54</v>
      </c>
      <c r="E35" s="17"/>
      <c r="F35" s="15">
        <v>0</v>
      </c>
      <c r="G35" s="196"/>
      <c r="H35" s="200"/>
      <c r="I35" s="201"/>
      <c r="J35" s="202"/>
    </row>
    <row r="36" spans="2:10" ht="13.5" customHeight="1">
      <c r="B36" s="217" t="s">
        <v>31</v>
      </c>
      <c r="C36" s="221" t="s">
        <v>10</v>
      </c>
      <c r="D36" s="17" t="s">
        <v>53</v>
      </c>
      <c r="E36" s="35"/>
      <c r="F36" s="24"/>
      <c r="G36" s="196" t="s">
        <v>232</v>
      </c>
      <c r="H36" s="197">
        <f t="shared" ref="H36" si="9">E36</f>
        <v>0</v>
      </c>
      <c r="I36" s="198"/>
      <c r="J36" s="199"/>
    </row>
    <row r="37" spans="2:10" ht="13.5" customHeight="1">
      <c r="B37" s="218"/>
      <c r="C37" s="222"/>
      <c r="D37" s="18" t="s">
        <v>54</v>
      </c>
      <c r="E37" s="17"/>
      <c r="F37" s="15">
        <v>0</v>
      </c>
      <c r="G37" s="196"/>
      <c r="H37" s="200"/>
      <c r="I37" s="201"/>
      <c r="J37" s="202"/>
    </row>
    <row r="38" spans="2:10" ht="13.5" customHeight="1">
      <c r="B38" s="217" t="s">
        <v>32</v>
      </c>
      <c r="C38" s="221" t="s">
        <v>10</v>
      </c>
      <c r="D38" s="17" t="s">
        <v>53</v>
      </c>
      <c r="E38" s="35"/>
      <c r="F38" s="24"/>
      <c r="G38" s="196" t="s">
        <v>227</v>
      </c>
      <c r="H38" s="197">
        <f t="shared" ref="H38" si="10">E38</f>
        <v>0</v>
      </c>
      <c r="I38" s="198"/>
      <c r="J38" s="199"/>
    </row>
    <row r="39" spans="2:10" ht="13.5" customHeight="1">
      <c r="B39" s="218"/>
      <c r="C39" s="222"/>
      <c r="D39" s="18" t="s">
        <v>54</v>
      </c>
      <c r="E39" s="17"/>
      <c r="F39" s="15">
        <v>0</v>
      </c>
      <c r="G39" s="196"/>
      <c r="H39" s="200"/>
      <c r="I39" s="201"/>
      <c r="J39" s="202"/>
    </row>
    <row r="40" spans="2:10" ht="13.5" customHeight="1">
      <c r="B40" s="217" t="s">
        <v>33</v>
      </c>
      <c r="C40" s="221" t="s">
        <v>10</v>
      </c>
      <c r="D40" s="17" t="s">
        <v>53</v>
      </c>
      <c r="E40" s="35"/>
      <c r="F40" s="24"/>
      <c r="G40" s="196" t="s">
        <v>233</v>
      </c>
      <c r="H40" s="197">
        <f t="shared" ref="H40" si="11">E40</f>
        <v>0</v>
      </c>
      <c r="I40" s="198"/>
      <c r="J40" s="199"/>
    </row>
    <row r="41" spans="2:10" ht="13.5" customHeight="1">
      <c r="B41" s="218"/>
      <c r="C41" s="222"/>
      <c r="D41" s="18" t="s">
        <v>54</v>
      </c>
      <c r="E41" s="17"/>
      <c r="F41" s="15">
        <v>0</v>
      </c>
      <c r="G41" s="196"/>
      <c r="H41" s="200"/>
      <c r="I41" s="201"/>
      <c r="J41" s="202"/>
    </row>
    <row r="42" spans="2:10" ht="13.5" customHeight="1">
      <c r="B42" s="217" t="s">
        <v>94</v>
      </c>
      <c r="C42" s="221" t="s">
        <v>95</v>
      </c>
      <c r="D42" s="17" t="s">
        <v>53</v>
      </c>
      <c r="E42" s="35"/>
      <c r="F42" s="24"/>
      <c r="G42" s="196" t="s">
        <v>234</v>
      </c>
      <c r="H42" s="197">
        <f t="shared" ref="H42" si="12">E42</f>
        <v>0</v>
      </c>
      <c r="I42" s="198"/>
      <c r="J42" s="199"/>
    </row>
    <row r="43" spans="2:10" ht="13.5" customHeight="1">
      <c r="B43" s="218"/>
      <c r="C43" s="222"/>
      <c r="D43" s="18" t="s">
        <v>54</v>
      </c>
      <c r="E43" s="17"/>
      <c r="F43" s="15">
        <v>0</v>
      </c>
      <c r="G43" s="196"/>
      <c r="H43" s="200"/>
      <c r="I43" s="201"/>
      <c r="J43" s="202"/>
    </row>
    <row r="44" spans="2:10" ht="13.5" customHeight="1">
      <c r="B44" s="217" t="s">
        <v>100</v>
      </c>
      <c r="C44" s="221" t="s">
        <v>95</v>
      </c>
      <c r="D44" s="17" t="s">
        <v>53</v>
      </c>
      <c r="E44" s="35"/>
      <c r="F44" s="194">
        <v>0</v>
      </c>
      <c r="G44" s="196" t="s">
        <v>227</v>
      </c>
      <c r="H44" s="197">
        <f t="shared" ref="H44" si="13">E44</f>
        <v>0</v>
      </c>
      <c r="I44" s="198"/>
      <c r="J44" s="199"/>
    </row>
    <row r="45" spans="2:10" ht="15.6" customHeight="1">
      <c r="B45" s="218"/>
      <c r="C45" s="222"/>
      <c r="D45" s="18" t="s">
        <v>54</v>
      </c>
      <c r="E45" s="17"/>
      <c r="F45" s="195"/>
      <c r="G45" s="196"/>
      <c r="H45" s="200"/>
      <c r="I45" s="201"/>
      <c r="J45" s="202"/>
    </row>
    <row r="46" spans="2:10" ht="13.5" customHeight="1">
      <c r="B46" s="217" t="s">
        <v>130</v>
      </c>
      <c r="C46" s="221" t="s">
        <v>95</v>
      </c>
      <c r="D46" s="17" t="s">
        <v>53</v>
      </c>
      <c r="E46" s="35"/>
      <c r="F46" s="194">
        <v>0</v>
      </c>
      <c r="G46" s="196" t="s">
        <v>234</v>
      </c>
      <c r="H46" s="197">
        <f t="shared" ref="H46" si="14">E46</f>
        <v>0</v>
      </c>
      <c r="I46" s="198"/>
      <c r="J46" s="199"/>
    </row>
    <row r="47" spans="2:10" ht="15.6" customHeight="1">
      <c r="B47" s="218"/>
      <c r="C47" s="222"/>
      <c r="D47" s="18" t="s">
        <v>54</v>
      </c>
      <c r="E47" s="17"/>
      <c r="F47" s="195"/>
      <c r="G47" s="196"/>
      <c r="H47" s="200"/>
      <c r="I47" s="201"/>
      <c r="J47" s="202"/>
    </row>
    <row r="48" spans="2:10" ht="13.5" customHeight="1">
      <c r="B48" s="217" t="s">
        <v>218</v>
      </c>
      <c r="C48" s="221" t="s">
        <v>95</v>
      </c>
      <c r="D48" s="17" t="s">
        <v>53</v>
      </c>
      <c r="E48" s="35"/>
      <c r="F48" s="194">
        <v>0</v>
      </c>
      <c r="G48" s="196" t="s">
        <v>234</v>
      </c>
      <c r="H48" s="197">
        <f t="shared" ref="H48" si="15">E48</f>
        <v>0</v>
      </c>
      <c r="I48" s="198"/>
      <c r="J48" s="199"/>
    </row>
    <row r="49" spans="2:10" ht="15.6" customHeight="1">
      <c r="B49" s="218"/>
      <c r="C49" s="222"/>
      <c r="D49" s="18" t="s">
        <v>54</v>
      </c>
      <c r="E49" s="17"/>
      <c r="F49" s="195"/>
      <c r="G49" s="196"/>
      <c r="H49" s="200"/>
      <c r="I49" s="201"/>
      <c r="J49" s="202"/>
    </row>
    <row r="50" spans="2:10" ht="13.5" customHeight="1">
      <c r="B50" s="217" t="s">
        <v>146</v>
      </c>
      <c r="C50" s="221" t="s">
        <v>136</v>
      </c>
      <c r="D50" s="17" t="s">
        <v>53</v>
      </c>
      <c r="E50" s="35"/>
      <c r="F50" s="194">
        <v>0</v>
      </c>
      <c r="G50" s="196" t="s">
        <v>246</v>
      </c>
      <c r="H50" s="197">
        <f t="shared" ref="H50" si="16">E50</f>
        <v>0</v>
      </c>
      <c r="I50" s="198"/>
      <c r="J50" s="199"/>
    </row>
    <row r="51" spans="2:10" ht="15.6" customHeight="1">
      <c r="B51" s="218"/>
      <c r="C51" s="222"/>
      <c r="D51" s="18" t="s">
        <v>54</v>
      </c>
      <c r="E51" s="17"/>
      <c r="F51" s="195"/>
      <c r="G51" s="196"/>
      <c r="H51" s="200"/>
      <c r="I51" s="201"/>
      <c r="J51" s="202"/>
    </row>
    <row r="52" spans="2:10" ht="13.5" customHeight="1">
      <c r="B52" s="217" t="s">
        <v>85</v>
      </c>
      <c r="C52" s="221" t="s">
        <v>86</v>
      </c>
      <c r="D52" s="17" t="s">
        <v>53</v>
      </c>
      <c r="E52" s="35"/>
      <c r="F52" s="194">
        <v>0</v>
      </c>
      <c r="G52" s="196" t="s">
        <v>235</v>
      </c>
      <c r="H52" s="197">
        <f t="shared" ref="H52" si="17">E52</f>
        <v>0</v>
      </c>
      <c r="I52" s="198"/>
      <c r="J52" s="199"/>
    </row>
    <row r="53" spans="2:10" ht="13.5" customHeight="1">
      <c r="B53" s="218"/>
      <c r="C53" s="222"/>
      <c r="D53" s="18" t="s">
        <v>54</v>
      </c>
      <c r="E53" s="17"/>
      <c r="F53" s="195"/>
      <c r="G53" s="196"/>
      <c r="H53" s="200"/>
      <c r="I53" s="201"/>
      <c r="J53" s="202"/>
    </row>
    <row r="54" spans="2:10" ht="13.5" customHeight="1">
      <c r="B54" s="217" t="s">
        <v>129</v>
      </c>
      <c r="C54" s="221" t="s">
        <v>86</v>
      </c>
      <c r="D54" s="17" t="s">
        <v>53</v>
      </c>
      <c r="E54" s="35"/>
      <c r="F54" s="194">
        <v>0</v>
      </c>
      <c r="G54" s="196" t="s">
        <v>236</v>
      </c>
      <c r="H54" s="197">
        <f t="shared" ref="H54" si="18">E54</f>
        <v>0</v>
      </c>
      <c r="I54" s="198"/>
      <c r="J54" s="199"/>
    </row>
    <row r="55" spans="2:10" ht="18" customHeight="1">
      <c r="B55" s="218"/>
      <c r="C55" s="222"/>
      <c r="D55" s="18" t="s">
        <v>54</v>
      </c>
      <c r="E55" s="17"/>
      <c r="F55" s="195"/>
      <c r="G55" s="196"/>
      <c r="H55" s="200"/>
      <c r="I55" s="201"/>
      <c r="J55" s="202"/>
    </row>
    <row r="56" spans="2:10" ht="18.75" customHeight="1" thickBot="1">
      <c r="B56" s="226" t="s">
        <v>56</v>
      </c>
      <c r="C56" s="227"/>
      <c r="D56" s="227"/>
      <c r="E56" s="227"/>
      <c r="F56" s="227"/>
      <c r="G56" s="228"/>
      <c r="H56" s="229">
        <f>SUM(H14:J54)</f>
        <v>600000</v>
      </c>
      <c r="I56" s="230"/>
      <c r="J56" s="231"/>
    </row>
    <row r="57" spans="2:10" ht="18.75" customHeight="1" thickBot="1">
      <c r="B57" s="207" t="s">
        <v>57</v>
      </c>
      <c r="C57" s="232"/>
      <c r="D57" s="232"/>
      <c r="E57" s="232"/>
      <c r="F57" s="232"/>
      <c r="G57" s="208"/>
      <c r="H57" s="229">
        <v>0</v>
      </c>
      <c r="I57" s="233"/>
      <c r="J57" s="234"/>
    </row>
    <row r="58" spans="2:10" ht="18.75" customHeight="1" thickBot="1">
      <c r="B58" s="207" t="s">
        <v>58</v>
      </c>
      <c r="C58" s="232"/>
      <c r="D58" s="232"/>
      <c r="E58" s="232"/>
      <c r="F58" s="232"/>
      <c r="G58" s="235"/>
      <c r="H58" s="236">
        <f>H56</f>
        <v>600000</v>
      </c>
      <c r="I58" s="237"/>
      <c r="J58" s="238"/>
    </row>
    <row r="59" spans="2:10" ht="13.5">
      <c r="B59" s="38"/>
      <c r="C59" s="106"/>
      <c r="D59" s="38"/>
      <c r="E59" s="38"/>
      <c r="F59" s="38"/>
      <c r="G59" s="66"/>
      <c r="H59" s="27"/>
      <c r="I59" s="27"/>
      <c r="J59" s="27"/>
    </row>
    <row r="60" spans="2:10" ht="15" customHeight="1">
      <c r="G60" s="64" t="s">
        <v>270</v>
      </c>
    </row>
    <row r="61" spans="2:10" ht="58.15" customHeight="1">
      <c r="G61" s="223"/>
      <c r="H61" s="223"/>
      <c r="I61" s="223"/>
    </row>
    <row r="62" spans="2:10">
      <c r="B62" s="147"/>
      <c r="G62" s="224" t="s">
        <v>40</v>
      </c>
      <c r="H62" s="224"/>
      <c r="I62" s="224"/>
    </row>
    <row r="63" spans="2:10">
      <c r="G63" s="225" t="s">
        <v>41</v>
      </c>
      <c r="H63" s="225"/>
      <c r="I63" s="225"/>
    </row>
    <row r="64" spans="2:10" ht="36.6" customHeight="1"/>
  </sheetData>
  <sheetProtection formatCells="0" formatColumns="0" formatRows="0" insertColumns="0" insertRows="0"/>
  <mergeCells count="104">
    <mergeCell ref="G62:I62"/>
    <mergeCell ref="G63:I63"/>
    <mergeCell ref="B56:G56"/>
    <mergeCell ref="H56:J56"/>
    <mergeCell ref="B57:G57"/>
    <mergeCell ref="H57:J57"/>
    <mergeCell ref="B58:G58"/>
    <mergeCell ref="H58:J58"/>
    <mergeCell ref="G42:G43"/>
    <mergeCell ref="H42:J43"/>
    <mergeCell ref="B44:B45"/>
    <mergeCell ref="C44:C45"/>
    <mergeCell ref="F44:F45"/>
    <mergeCell ref="G44:G45"/>
    <mergeCell ref="H44:J45"/>
    <mergeCell ref="B52:B53"/>
    <mergeCell ref="C52:C53"/>
    <mergeCell ref="F52:F53"/>
    <mergeCell ref="G52:G53"/>
    <mergeCell ref="H52:J53"/>
    <mergeCell ref="B54:B55"/>
    <mergeCell ref="C54:C55"/>
    <mergeCell ref="F54:F55"/>
    <mergeCell ref="G54:G55"/>
    <mergeCell ref="B38:B39"/>
    <mergeCell ref="C38:C39"/>
    <mergeCell ref="G38:G39"/>
    <mergeCell ref="H38:J39"/>
    <mergeCell ref="B40:B41"/>
    <mergeCell ref="C40:C41"/>
    <mergeCell ref="G40:G41"/>
    <mergeCell ref="H40:J41"/>
    <mergeCell ref="G61:I61"/>
    <mergeCell ref="H54:J55"/>
    <mergeCell ref="B50:B51"/>
    <mergeCell ref="C50:C51"/>
    <mergeCell ref="F50:F51"/>
    <mergeCell ref="G50:G51"/>
    <mergeCell ref="H50:J51"/>
    <mergeCell ref="B46:B47"/>
    <mergeCell ref="C46:C47"/>
    <mergeCell ref="F46:F47"/>
    <mergeCell ref="G46:G47"/>
    <mergeCell ref="H46:J47"/>
    <mergeCell ref="B42:B43"/>
    <mergeCell ref="C42:C43"/>
    <mergeCell ref="B48:B49"/>
    <mergeCell ref="C48:C49"/>
    <mergeCell ref="B32:B33"/>
    <mergeCell ref="C32:C33"/>
    <mergeCell ref="G32:G33"/>
    <mergeCell ref="H32:J33"/>
    <mergeCell ref="B34:B35"/>
    <mergeCell ref="C34:C35"/>
    <mergeCell ref="G34:G35"/>
    <mergeCell ref="H34:J35"/>
    <mergeCell ref="B36:B37"/>
    <mergeCell ref="C36:C37"/>
    <mergeCell ref="G36:G37"/>
    <mergeCell ref="H36:J37"/>
    <mergeCell ref="B18:B19"/>
    <mergeCell ref="C18:C19"/>
    <mergeCell ref="G18:G19"/>
    <mergeCell ref="H18:J19"/>
    <mergeCell ref="B30:B31"/>
    <mergeCell ref="C30:C31"/>
    <mergeCell ref="G30:G31"/>
    <mergeCell ref="H30:J31"/>
    <mergeCell ref="B26:B27"/>
    <mergeCell ref="C26:C27"/>
    <mergeCell ref="G26:G27"/>
    <mergeCell ref="H26:J27"/>
    <mergeCell ref="B24:B25"/>
    <mergeCell ref="C24:C25"/>
    <mergeCell ref="G24:G25"/>
    <mergeCell ref="H24:J25"/>
    <mergeCell ref="B28:B29"/>
    <mergeCell ref="C28:C29"/>
    <mergeCell ref="G28:G29"/>
    <mergeCell ref="H28:J29"/>
    <mergeCell ref="F48:F49"/>
    <mergeCell ref="G48:G49"/>
    <mergeCell ref="H48:J49"/>
    <mergeCell ref="A1:J1"/>
    <mergeCell ref="H4:J4"/>
    <mergeCell ref="B7:J7"/>
    <mergeCell ref="H13:J13"/>
    <mergeCell ref="B14:B15"/>
    <mergeCell ref="C14:C15"/>
    <mergeCell ref="F14:F15"/>
    <mergeCell ref="G14:G15"/>
    <mergeCell ref="H14:J15"/>
    <mergeCell ref="B16:B17"/>
    <mergeCell ref="C16:C17"/>
    <mergeCell ref="G16:G17"/>
    <mergeCell ref="H16:J17"/>
    <mergeCell ref="B22:B23"/>
    <mergeCell ref="C22:C23"/>
    <mergeCell ref="G22:G23"/>
    <mergeCell ref="H22:J23"/>
    <mergeCell ref="B20:B21"/>
    <mergeCell ref="C20:C21"/>
    <mergeCell ref="G20:G21"/>
    <mergeCell ref="H20:J21"/>
  </mergeCells>
  <phoneticPr fontId="3"/>
  <dataValidations disablePrompts="1" count="1">
    <dataValidation type="whole" allowBlank="1" showInputMessage="1" showErrorMessage="1" errorTitle="1円未満切捨" error="整数(半角）" sqref="H57:J57" xr:uid="{00000000-0002-0000-0100-000000000000}">
      <formula1>0</formula1>
      <formula2>999999999</formula2>
    </dataValidation>
  </dataValidations>
  <pageMargins left="0.70866141732283472" right="0.70866141732283472" top="0.74803149606299213" bottom="0.74803149606299213" header="0.31496062992125984" footer="0.31496062992125984"/>
  <pageSetup paperSize="9" scale="7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66"/>
  <sheetViews>
    <sheetView view="pageBreakPreview" topLeftCell="A29" zoomScaleNormal="100" zoomScaleSheetLayoutView="100" workbookViewId="0">
      <selection activeCell="E15" sqref="E15"/>
    </sheetView>
  </sheetViews>
  <sheetFormatPr defaultColWidth="8.140625" defaultRowHeight="12"/>
  <cols>
    <col min="1" max="1" width="3.85546875" style="6" customWidth="1"/>
    <col min="2" max="2" width="14.140625" style="6" customWidth="1"/>
    <col min="3" max="3" width="5.28515625" style="6" customWidth="1"/>
    <col min="4" max="4" width="8.42578125" style="6" customWidth="1"/>
    <col min="5" max="5" width="13.28515625" style="6" customWidth="1"/>
    <col min="6" max="6" width="5.7109375" style="6" customWidth="1"/>
    <col min="7" max="7" width="21.85546875" style="64" customWidth="1"/>
    <col min="8" max="8" width="5.28515625" style="6" customWidth="1"/>
    <col min="9" max="9" width="8.7109375" style="6" customWidth="1"/>
    <col min="10" max="10" width="8.42578125" style="6" customWidth="1"/>
    <col min="11" max="11" width="15.42578125" style="70" bestFit="1" customWidth="1"/>
    <col min="12" max="12" width="8.5703125" style="6" bestFit="1" customWidth="1"/>
    <col min="13" max="16384" width="8.140625" style="6"/>
  </cols>
  <sheetData>
    <row r="1" spans="1:10" ht="20.100000000000001" customHeight="1">
      <c r="A1" s="203">
        <v>45596</v>
      </c>
      <c r="B1" s="239">
        <v>41698</v>
      </c>
      <c r="C1" s="239">
        <v>41698</v>
      </c>
      <c r="D1" s="239"/>
      <c r="E1" s="239"/>
      <c r="F1" s="239"/>
      <c r="G1" s="239">
        <v>41698</v>
      </c>
      <c r="H1" s="239">
        <v>41698</v>
      </c>
      <c r="I1" s="239">
        <v>41698</v>
      </c>
      <c r="J1" s="239">
        <v>41698</v>
      </c>
    </row>
    <row r="2" spans="1:10" ht="20.100000000000001" customHeight="1">
      <c r="A2" s="30"/>
      <c r="B2" s="31"/>
      <c r="C2" s="31"/>
      <c r="D2" s="31"/>
      <c r="E2" s="31"/>
      <c r="F2" s="31"/>
      <c r="G2" s="32"/>
      <c r="H2" s="31"/>
      <c r="I2" s="32"/>
      <c r="J2" s="33"/>
    </row>
    <row r="3" spans="1:10" ht="18.75" customHeight="1">
      <c r="A3" s="7"/>
      <c r="B3" s="7"/>
      <c r="C3" s="7"/>
      <c r="D3" s="7"/>
      <c r="E3" s="7"/>
      <c r="F3" s="7"/>
      <c r="G3" s="62"/>
      <c r="H3" s="7"/>
      <c r="I3" s="7"/>
      <c r="J3" s="8"/>
    </row>
    <row r="4" spans="1:10" ht="15" customHeight="1">
      <c r="A4" s="6" t="s">
        <v>37</v>
      </c>
      <c r="G4" s="63"/>
      <c r="H4" s="204">
        <v>45679</v>
      </c>
      <c r="I4" s="204"/>
      <c r="J4" s="204"/>
    </row>
    <row r="5" spans="1:10" ht="15" customHeight="1">
      <c r="A5" s="9"/>
      <c r="B5" s="9"/>
      <c r="C5" s="9"/>
      <c r="D5" s="9"/>
      <c r="E5" s="9"/>
      <c r="F5" s="9"/>
    </row>
    <row r="6" spans="1:10" ht="20.100000000000001" customHeight="1">
      <c r="A6" s="6" t="s">
        <v>42</v>
      </c>
      <c r="G6" s="25"/>
      <c r="H6" s="26"/>
      <c r="I6" s="26"/>
      <c r="J6" s="26"/>
    </row>
    <row r="7" spans="1:10" ht="20.100000000000001" customHeight="1">
      <c r="B7" s="205" t="s">
        <v>38</v>
      </c>
      <c r="C7" s="205"/>
      <c r="D7" s="205"/>
      <c r="E7" s="205"/>
      <c r="F7" s="205"/>
      <c r="G7" s="206"/>
      <c r="H7" s="206"/>
      <c r="I7" s="206"/>
      <c r="J7" s="206"/>
    </row>
    <row r="8" spans="1:10" ht="12.95" customHeight="1"/>
    <row r="9" spans="1:10" ht="15" customHeight="1">
      <c r="A9" s="6">
        <v>1</v>
      </c>
      <c r="B9" s="6" t="s">
        <v>43</v>
      </c>
      <c r="C9" s="6" t="s">
        <v>241</v>
      </c>
      <c r="G9" s="65"/>
      <c r="H9" s="22"/>
      <c r="I9" s="23"/>
      <c r="J9" s="23"/>
    </row>
    <row r="10" spans="1:10" ht="12.95" customHeight="1"/>
    <row r="11" spans="1:10" ht="15" customHeight="1"/>
    <row r="12" spans="1:10" ht="15" customHeight="1" thickBot="1">
      <c r="A12" s="6">
        <v>2</v>
      </c>
      <c r="B12" s="6" t="s">
        <v>44</v>
      </c>
      <c r="J12" s="10" t="s">
        <v>45</v>
      </c>
    </row>
    <row r="13" spans="1:10" ht="42.6" customHeight="1" thickBot="1">
      <c r="B13" s="11" t="s">
        <v>39</v>
      </c>
      <c r="C13" s="12" t="s">
        <v>46</v>
      </c>
      <c r="D13" s="13" t="s">
        <v>47</v>
      </c>
      <c r="E13" s="21" t="s">
        <v>48</v>
      </c>
      <c r="F13" s="34" t="s">
        <v>49</v>
      </c>
      <c r="G13" s="16" t="s">
        <v>50</v>
      </c>
      <c r="H13" s="207" t="s">
        <v>51</v>
      </c>
      <c r="I13" s="208"/>
      <c r="J13" s="209"/>
    </row>
    <row r="14" spans="1:10" ht="13.5" customHeight="1">
      <c r="B14" s="210" t="s">
        <v>25</v>
      </c>
      <c r="C14" s="211" t="s">
        <v>52</v>
      </c>
      <c r="D14" s="28" t="s">
        <v>53</v>
      </c>
      <c r="E14" s="36"/>
      <c r="F14" s="213">
        <v>0</v>
      </c>
      <c r="G14" s="215" t="s">
        <v>224</v>
      </c>
      <c r="H14" s="197">
        <f>E14</f>
        <v>0</v>
      </c>
      <c r="I14" s="198"/>
      <c r="J14" s="199"/>
    </row>
    <row r="15" spans="1:10" ht="21.6" customHeight="1">
      <c r="B15" s="210"/>
      <c r="C15" s="212"/>
      <c r="D15" s="18" t="s">
        <v>54</v>
      </c>
      <c r="E15" s="37"/>
      <c r="F15" s="214"/>
      <c r="G15" s="216"/>
      <c r="H15" s="200"/>
      <c r="I15" s="201"/>
      <c r="J15" s="202"/>
    </row>
    <row r="16" spans="1:10" ht="13.5" customHeight="1">
      <c r="B16" s="217" t="s">
        <v>141</v>
      </c>
      <c r="C16" s="211" t="s">
        <v>143</v>
      </c>
      <c r="D16" s="17" t="s">
        <v>53</v>
      </c>
      <c r="E16" s="35"/>
      <c r="F16" s="20"/>
      <c r="G16" s="219" t="s">
        <v>243</v>
      </c>
      <c r="H16" s="197">
        <f t="shared" ref="H16" si="0">E16</f>
        <v>0</v>
      </c>
      <c r="I16" s="198"/>
      <c r="J16" s="199"/>
    </row>
    <row r="17" spans="2:10" ht="13.5" customHeight="1">
      <c r="B17" s="218"/>
      <c r="C17" s="212"/>
      <c r="D17" s="18" t="s">
        <v>54</v>
      </c>
      <c r="E17" s="17"/>
      <c r="F17" s="15">
        <v>0</v>
      </c>
      <c r="G17" s="219"/>
      <c r="H17" s="200"/>
      <c r="I17" s="201"/>
      <c r="J17" s="202"/>
    </row>
    <row r="18" spans="2:10" ht="13.5" customHeight="1">
      <c r="B18" s="217" t="s">
        <v>26</v>
      </c>
      <c r="C18" s="211" t="s">
        <v>55</v>
      </c>
      <c r="D18" s="17" t="s">
        <v>53</v>
      </c>
      <c r="E18" s="35"/>
      <c r="F18" s="20"/>
      <c r="G18" s="220" t="s">
        <v>225</v>
      </c>
      <c r="H18" s="197">
        <f t="shared" ref="H18" si="1">E18</f>
        <v>0</v>
      </c>
      <c r="I18" s="198"/>
      <c r="J18" s="199"/>
    </row>
    <row r="19" spans="2:10" ht="19.5" customHeight="1">
      <c r="B19" s="218"/>
      <c r="C19" s="212"/>
      <c r="D19" s="18" t="s">
        <v>54</v>
      </c>
      <c r="E19" s="17"/>
      <c r="F19" s="15">
        <v>0</v>
      </c>
      <c r="G19" s="220"/>
      <c r="H19" s="200"/>
      <c r="I19" s="201"/>
      <c r="J19" s="202"/>
    </row>
    <row r="20" spans="2:10" ht="13.5" customHeight="1">
      <c r="B20" s="217" t="s">
        <v>93</v>
      </c>
      <c r="C20" s="211" t="s">
        <v>55</v>
      </c>
      <c r="D20" s="17" t="s">
        <v>53</v>
      </c>
      <c r="E20" s="35"/>
      <c r="F20" s="14"/>
      <c r="G20" s="220" t="s">
        <v>226</v>
      </c>
      <c r="H20" s="197">
        <f t="shared" ref="H20" si="2">E20</f>
        <v>0</v>
      </c>
      <c r="I20" s="198"/>
      <c r="J20" s="199"/>
    </row>
    <row r="21" spans="2:10" ht="13.5" customHeight="1">
      <c r="B21" s="218"/>
      <c r="C21" s="212"/>
      <c r="D21" s="18" t="s">
        <v>54</v>
      </c>
      <c r="E21" s="17"/>
      <c r="F21" s="15">
        <v>0</v>
      </c>
      <c r="G21" s="220"/>
      <c r="H21" s="200"/>
      <c r="I21" s="201"/>
      <c r="J21" s="202"/>
    </row>
    <row r="22" spans="2:10" ht="13.5" customHeight="1">
      <c r="B22" s="217" t="s">
        <v>133</v>
      </c>
      <c r="C22" s="211" t="s">
        <v>142</v>
      </c>
      <c r="D22" s="17" t="s">
        <v>53</v>
      </c>
      <c r="E22" s="35"/>
      <c r="F22" s="19"/>
      <c r="G22" s="196" t="s">
        <v>242</v>
      </c>
      <c r="H22" s="197">
        <f t="shared" ref="H22" si="3">E22</f>
        <v>0</v>
      </c>
      <c r="I22" s="198"/>
      <c r="J22" s="199"/>
    </row>
    <row r="23" spans="2:10" ht="13.5" customHeight="1">
      <c r="B23" s="218"/>
      <c r="C23" s="212"/>
      <c r="D23" s="18" t="s">
        <v>54</v>
      </c>
      <c r="E23" s="17"/>
      <c r="F23" s="18">
        <v>0</v>
      </c>
      <c r="G23" s="196"/>
      <c r="H23" s="200"/>
      <c r="I23" s="201"/>
      <c r="J23" s="202"/>
    </row>
    <row r="24" spans="2:10" ht="13.5" customHeight="1">
      <c r="B24" s="217" t="s">
        <v>145</v>
      </c>
      <c r="C24" s="211" t="s">
        <v>144</v>
      </c>
      <c r="D24" s="17" t="s">
        <v>53</v>
      </c>
      <c r="E24" s="35"/>
      <c r="F24" s="24"/>
      <c r="G24" s="196" t="s">
        <v>244</v>
      </c>
      <c r="H24" s="197">
        <f t="shared" ref="H24" si="4">E24</f>
        <v>0</v>
      </c>
      <c r="I24" s="198"/>
      <c r="J24" s="199"/>
    </row>
    <row r="25" spans="2:10" ht="13.5" customHeight="1">
      <c r="B25" s="218"/>
      <c r="C25" s="212"/>
      <c r="D25" s="18" t="s">
        <v>54</v>
      </c>
      <c r="E25" s="17"/>
      <c r="F25" s="15">
        <v>0</v>
      </c>
      <c r="G25" s="196"/>
      <c r="H25" s="200"/>
      <c r="I25" s="201"/>
      <c r="J25" s="202"/>
    </row>
    <row r="26" spans="2:10" ht="13.5" customHeight="1">
      <c r="B26" s="217" t="s">
        <v>135</v>
      </c>
      <c r="C26" s="211" t="s">
        <v>134</v>
      </c>
      <c r="D26" s="17" t="s">
        <v>53</v>
      </c>
      <c r="E26" s="35"/>
      <c r="F26" s="24"/>
      <c r="G26" s="196" t="s">
        <v>245</v>
      </c>
      <c r="H26" s="197">
        <f t="shared" ref="H26" si="5">E26</f>
        <v>0</v>
      </c>
      <c r="I26" s="198"/>
      <c r="J26" s="199"/>
    </row>
    <row r="27" spans="2:10" ht="13.5" customHeight="1">
      <c r="B27" s="218"/>
      <c r="C27" s="212"/>
      <c r="D27" s="18" t="s">
        <v>54</v>
      </c>
      <c r="E27" s="17"/>
      <c r="F27" s="15">
        <v>0</v>
      </c>
      <c r="G27" s="196"/>
      <c r="H27" s="200"/>
      <c r="I27" s="201"/>
      <c r="J27" s="202"/>
    </row>
    <row r="28" spans="2:10" ht="13.5" customHeight="1">
      <c r="B28" s="217" t="s">
        <v>27</v>
      </c>
      <c r="C28" s="221" t="s">
        <v>10</v>
      </c>
      <c r="D28" s="17" t="s">
        <v>53</v>
      </c>
      <c r="E28" s="35"/>
      <c r="F28" s="24"/>
      <c r="G28" s="196" t="s">
        <v>227</v>
      </c>
      <c r="H28" s="197">
        <f t="shared" ref="H28" si="6">E28</f>
        <v>0</v>
      </c>
      <c r="I28" s="198"/>
      <c r="J28" s="199"/>
    </row>
    <row r="29" spans="2:10" ht="13.5" customHeight="1">
      <c r="B29" s="218"/>
      <c r="C29" s="222"/>
      <c r="D29" s="18" t="s">
        <v>54</v>
      </c>
      <c r="E29" s="17"/>
      <c r="F29" s="15">
        <v>0</v>
      </c>
      <c r="G29" s="196"/>
      <c r="H29" s="200"/>
      <c r="I29" s="201"/>
      <c r="J29" s="202"/>
    </row>
    <row r="30" spans="2:10" ht="13.5" customHeight="1">
      <c r="B30" s="217" t="s">
        <v>28</v>
      </c>
      <c r="C30" s="221" t="s">
        <v>10</v>
      </c>
      <c r="D30" s="17" t="s">
        <v>53</v>
      </c>
      <c r="E30" s="35"/>
      <c r="F30" s="24"/>
      <c r="G30" s="196" t="s">
        <v>228</v>
      </c>
      <c r="H30" s="197">
        <f t="shared" ref="H30" si="7">E30</f>
        <v>0</v>
      </c>
      <c r="I30" s="198"/>
      <c r="J30" s="199"/>
    </row>
    <row r="31" spans="2:10" ht="13.5" customHeight="1">
      <c r="B31" s="210"/>
      <c r="C31" s="222"/>
      <c r="D31" s="18" t="s">
        <v>54</v>
      </c>
      <c r="E31" s="17"/>
      <c r="F31" s="15">
        <v>0</v>
      </c>
      <c r="G31" s="196"/>
      <c r="H31" s="200"/>
      <c r="I31" s="201"/>
      <c r="J31" s="202"/>
    </row>
    <row r="32" spans="2:10" ht="13.5" customHeight="1">
      <c r="B32" s="217" t="s">
        <v>29</v>
      </c>
      <c r="C32" s="221" t="s">
        <v>10</v>
      </c>
      <c r="D32" s="17" t="s">
        <v>53</v>
      </c>
      <c r="E32" s="35"/>
      <c r="F32" s="24"/>
      <c r="G32" s="196" t="s">
        <v>230</v>
      </c>
      <c r="H32" s="197">
        <f t="shared" ref="H32" si="8">E32</f>
        <v>0</v>
      </c>
      <c r="I32" s="198"/>
      <c r="J32" s="199"/>
    </row>
    <row r="33" spans="2:10" ht="13.5" customHeight="1">
      <c r="B33" s="218"/>
      <c r="C33" s="222"/>
      <c r="D33" s="18" t="s">
        <v>54</v>
      </c>
      <c r="E33" s="17"/>
      <c r="F33" s="15">
        <v>0</v>
      </c>
      <c r="G33" s="196"/>
      <c r="H33" s="200"/>
      <c r="I33" s="201"/>
      <c r="J33" s="202"/>
    </row>
    <row r="34" spans="2:10" ht="13.5" customHeight="1">
      <c r="B34" s="217" t="s">
        <v>30</v>
      </c>
      <c r="C34" s="221" t="s">
        <v>10</v>
      </c>
      <c r="D34" s="17" t="s">
        <v>53</v>
      </c>
      <c r="E34" s="35"/>
      <c r="F34" s="24"/>
      <c r="G34" s="196" t="s">
        <v>228</v>
      </c>
      <c r="H34" s="197">
        <f t="shared" ref="H34" si="9">E34</f>
        <v>0</v>
      </c>
      <c r="I34" s="198"/>
      <c r="J34" s="199"/>
    </row>
    <row r="35" spans="2:10" ht="13.5" customHeight="1">
      <c r="B35" s="218"/>
      <c r="C35" s="222"/>
      <c r="D35" s="18" t="s">
        <v>54</v>
      </c>
      <c r="E35" s="17"/>
      <c r="F35" s="15">
        <v>0</v>
      </c>
      <c r="G35" s="196"/>
      <c r="H35" s="200"/>
      <c r="I35" s="201"/>
      <c r="J35" s="202"/>
    </row>
    <row r="36" spans="2:10" ht="13.5" customHeight="1">
      <c r="B36" s="217" t="s">
        <v>31</v>
      </c>
      <c r="C36" s="221" t="s">
        <v>10</v>
      </c>
      <c r="D36" s="17" t="s">
        <v>53</v>
      </c>
      <c r="E36" s="35"/>
      <c r="F36" s="194">
        <v>0</v>
      </c>
      <c r="G36" s="196" t="s">
        <v>232</v>
      </c>
      <c r="H36" s="197">
        <f t="shared" ref="H36" si="10">E36</f>
        <v>0</v>
      </c>
      <c r="I36" s="198"/>
      <c r="J36" s="199"/>
    </row>
    <row r="37" spans="2:10" ht="12.6" customHeight="1">
      <c r="B37" s="218"/>
      <c r="C37" s="222"/>
      <c r="D37" s="18" t="s">
        <v>54</v>
      </c>
      <c r="E37" s="17"/>
      <c r="F37" s="195"/>
      <c r="G37" s="196"/>
      <c r="H37" s="200"/>
      <c r="I37" s="201"/>
      <c r="J37" s="202"/>
    </row>
    <row r="38" spans="2:10" ht="13.5" customHeight="1">
      <c r="B38" s="217" t="s">
        <v>32</v>
      </c>
      <c r="C38" s="221" t="s">
        <v>10</v>
      </c>
      <c r="D38" s="17" t="s">
        <v>53</v>
      </c>
      <c r="E38" s="35"/>
      <c r="F38" s="194">
        <v>0</v>
      </c>
      <c r="G38" s="196" t="s">
        <v>227</v>
      </c>
      <c r="H38" s="197">
        <f t="shared" ref="H38" si="11">E38</f>
        <v>0</v>
      </c>
      <c r="I38" s="198"/>
      <c r="J38" s="199"/>
    </row>
    <row r="39" spans="2:10" ht="12.6" customHeight="1">
      <c r="B39" s="218"/>
      <c r="C39" s="222"/>
      <c r="D39" s="18" t="s">
        <v>54</v>
      </c>
      <c r="E39" s="17"/>
      <c r="F39" s="195"/>
      <c r="G39" s="196"/>
      <c r="H39" s="200"/>
      <c r="I39" s="201"/>
      <c r="J39" s="202"/>
    </row>
    <row r="40" spans="2:10" ht="13.5" customHeight="1">
      <c r="B40" s="217" t="s">
        <v>33</v>
      </c>
      <c r="C40" s="221" t="s">
        <v>10</v>
      </c>
      <c r="D40" s="17" t="s">
        <v>53</v>
      </c>
      <c r="E40" s="35"/>
      <c r="F40" s="194">
        <v>0</v>
      </c>
      <c r="G40" s="196" t="s">
        <v>233</v>
      </c>
      <c r="H40" s="197">
        <f t="shared" ref="H40" si="12">E40</f>
        <v>0</v>
      </c>
      <c r="I40" s="198"/>
      <c r="J40" s="199"/>
    </row>
    <row r="41" spans="2:10" ht="12.6" customHeight="1">
      <c r="B41" s="218"/>
      <c r="C41" s="222"/>
      <c r="D41" s="18" t="s">
        <v>54</v>
      </c>
      <c r="E41" s="17"/>
      <c r="F41" s="195"/>
      <c r="G41" s="196"/>
      <c r="H41" s="200"/>
      <c r="I41" s="201"/>
      <c r="J41" s="202"/>
    </row>
    <row r="42" spans="2:10" ht="13.5" customHeight="1">
      <c r="B42" s="217" t="s">
        <v>94</v>
      </c>
      <c r="C42" s="221" t="s">
        <v>95</v>
      </c>
      <c r="D42" s="17" t="s">
        <v>53</v>
      </c>
      <c r="E42" s="35"/>
      <c r="F42" s="24"/>
      <c r="G42" s="196" t="s">
        <v>234</v>
      </c>
      <c r="H42" s="197">
        <f t="shared" ref="H42" si="13">E42</f>
        <v>0</v>
      </c>
      <c r="I42" s="198"/>
      <c r="J42" s="199"/>
    </row>
    <row r="43" spans="2:10" ht="13.5" customHeight="1">
      <c r="B43" s="218"/>
      <c r="C43" s="222"/>
      <c r="D43" s="18" t="s">
        <v>54</v>
      </c>
      <c r="E43" s="17"/>
      <c r="F43" s="15">
        <v>0</v>
      </c>
      <c r="G43" s="196"/>
      <c r="H43" s="200"/>
      <c r="I43" s="201"/>
      <c r="J43" s="202"/>
    </row>
    <row r="44" spans="2:10" ht="13.5" customHeight="1">
      <c r="B44" s="217" t="s">
        <v>100</v>
      </c>
      <c r="C44" s="221" t="s">
        <v>95</v>
      </c>
      <c r="D44" s="17" t="s">
        <v>53</v>
      </c>
      <c r="E44" s="35"/>
      <c r="F44" s="24"/>
      <c r="G44" s="196" t="s">
        <v>227</v>
      </c>
      <c r="H44" s="197">
        <f t="shared" ref="H44" si="14">E44</f>
        <v>0</v>
      </c>
      <c r="I44" s="198"/>
      <c r="J44" s="199"/>
    </row>
    <row r="45" spans="2:10" ht="13.5" customHeight="1">
      <c r="B45" s="218"/>
      <c r="C45" s="222"/>
      <c r="D45" s="18" t="s">
        <v>54</v>
      </c>
      <c r="E45" s="17"/>
      <c r="F45" s="15">
        <v>0</v>
      </c>
      <c r="G45" s="196"/>
      <c r="H45" s="200"/>
      <c r="I45" s="201"/>
      <c r="J45" s="202"/>
    </row>
    <row r="46" spans="2:10" ht="13.5" customHeight="1">
      <c r="B46" s="217" t="s">
        <v>130</v>
      </c>
      <c r="C46" s="221" t="s">
        <v>95</v>
      </c>
      <c r="D46" s="17" t="s">
        <v>53</v>
      </c>
      <c r="E46" s="35"/>
      <c r="F46" s="24"/>
      <c r="G46" s="196" t="s">
        <v>234</v>
      </c>
      <c r="H46" s="197">
        <f t="shared" ref="H46" si="15">E46</f>
        <v>0</v>
      </c>
      <c r="I46" s="198"/>
      <c r="J46" s="199"/>
    </row>
    <row r="47" spans="2:10" ht="13.5" customHeight="1">
      <c r="B47" s="218"/>
      <c r="C47" s="222"/>
      <c r="D47" s="18" t="s">
        <v>54</v>
      </c>
      <c r="E47" s="17"/>
      <c r="F47" s="15">
        <v>0</v>
      </c>
      <c r="G47" s="196"/>
      <c r="H47" s="200"/>
      <c r="I47" s="201"/>
      <c r="J47" s="202"/>
    </row>
    <row r="48" spans="2:10" ht="13.5" customHeight="1">
      <c r="B48" s="217" t="s">
        <v>218</v>
      </c>
      <c r="C48" s="221" t="s">
        <v>95</v>
      </c>
      <c r="D48" s="17" t="s">
        <v>53</v>
      </c>
      <c r="E48" s="35"/>
      <c r="F48" s="194">
        <v>0</v>
      </c>
      <c r="G48" s="196" t="s">
        <v>234</v>
      </c>
      <c r="H48" s="197">
        <f>E48</f>
        <v>0</v>
      </c>
      <c r="I48" s="198"/>
      <c r="J48" s="199"/>
    </row>
    <row r="49" spans="2:10" ht="15.6" customHeight="1">
      <c r="B49" s="218"/>
      <c r="C49" s="222"/>
      <c r="D49" s="18" t="s">
        <v>54</v>
      </c>
      <c r="E49" s="17"/>
      <c r="F49" s="195"/>
      <c r="G49" s="196"/>
      <c r="H49" s="200"/>
      <c r="I49" s="201"/>
      <c r="J49" s="202"/>
    </row>
    <row r="50" spans="2:10" ht="13.5" customHeight="1">
      <c r="B50" s="217" t="s">
        <v>146</v>
      </c>
      <c r="C50" s="221" t="s">
        <v>136</v>
      </c>
      <c r="D50" s="17" t="s">
        <v>53</v>
      </c>
      <c r="E50" s="35"/>
      <c r="F50" s="194">
        <v>0</v>
      </c>
      <c r="G50" s="196" t="s">
        <v>246</v>
      </c>
      <c r="H50" s="197">
        <f t="shared" ref="H50" si="16">E50</f>
        <v>0</v>
      </c>
      <c r="I50" s="198"/>
      <c r="J50" s="199"/>
    </row>
    <row r="51" spans="2:10" ht="12.6" customHeight="1">
      <c r="B51" s="218"/>
      <c r="C51" s="222"/>
      <c r="D51" s="18" t="s">
        <v>54</v>
      </c>
      <c r="E51" s="17"/>
      <c r="F51" s="195"/>
      <c r="G51" s="196"/>
      <c r="H51" s="200"/>
      <c r="I51" s="201"/>
      <c r="J51" s="202"/>
    </row>
    <row r="52" spans="2:10" ht="13.5" customHeight="1">
      <c r="B52" s="217" t="s">
        <v>85</v>
      </c>
      <c r="C52" s="221" t="s">
        <v>86</v>
      </c>
      <c r="D52" s="17" t="s">
        <v>53</v>
      </c>
      <c r="E52" s="35"/>
      <c r="F52" s="194">
        <v>0</v>
      </c>
      <c r="G52" s="196" t="s">
        <v>235</v>
      </c>
      <c r="H52" s="197">
        <f t="shared" ref="H52" si="17">E52</f>
        <v>0</v>
      </c>
      <c r="I52" s="198"/>
      <c r="J52" s="199"/>
    </row>
    <row r="53" spans="2:10" ht="12.6" customHeight="1">
      <c r="B53" s="218"/>
      <c r="C53" s="222"/>
      <c r="D53" s="18" t="s">
        <v>54</v>
      </c>
      <c r="E53" s="17"/>
      <c r="F53" s="195"/>
      <c r="G53" s="196"/>
      <c r="H53" s="200"/>
      <c r="I53" s="201"/>
      <c r="J53" s="202"/>
    </row>
    <row r="54" spans="2:10" ht="13.5" customHeight="1">
      <c r="B54" s="217" t="s">
        <v>219</v>
      </c>
      <c r="C54" s="221" t="s">
        <v>86</v>
      </c>
      <c r="D54" s="17" t="s">
        <v>53</v>
      </c>
      <c r="E54" s="35"/>
      <c r="F54" s="194">
        <v>0</v>
      </c>
      <c r="G54" s="196" t="s">
        <v>235</v>
      </c>
      <c r="H54" s="197">
        <f>E54*4/22</f>
        <v>0</v>
      </c>
      <c r="I54" s="198"/>
      <c r="J54" s="199"/>
    </row>
    <row r="55" spans="2:10" ht="12.6" customHeight="1">
      <c r="B55" s="218"/>
      <c r="C55" s="222"/>
      <c r="D55" s="18" t="s">
        <v>54</v>
      </c>
      <c r="E55" s="17"/>
      <c r="F55" s="195"/>
      <c r="G55" s="196"/>
      <c r="H55" s="200"/>
      <c r="I55" s="201"/>
      <c r="J55" s="202"/>
    </row>
    <row r="56" spans="2:10" ht="13.5" customHeight="1">
      <c r="B56" s="217" t="s">
        <v>129</v>
      </c>
      <c r="C56" s="221" t="s">
        <v>86</v>
      </c>
      <c r="D56" s="17" t="s">
        <v>53</v>
      </c>
      <c r="E56" s="35"/>
      <c r="F56" s="194">
        <v>0</v>
      </c>
      <c r="G56" s="196" t="s">
        <v>236</v>
      </c>
      <c r="H56" s="197">
        <f t="shared" ref="H56" si="18">E56</f>
        <v>0</v>
      </c>
      <c r="I56" s="198"/>
      <c r="J56" s="199"/>
    </row>
    <row r="57" spans="2:10" ht="12.6" customHeight="1">
      <c r="B57" s="218"/>
      <c r="C57" s="222"/>
      <c r="D57" s="18" t="s">
        <v>54</v>
      </c>
      <c r="E57" s="17"/>
      <c r="F57" s="195"/>
      <c r="G57" s="196"/>
      <c r="H57" s="200"/>
      <c r="I57" s="201"/>
      <c r="J57" s="202"/>
    </row>
    <row r="58" spans="2:10" ht="18.75" customHeight="1" thickBot="1">
      <c r="B58" s="226" t="s">
        <v>56</v>
      </c>
      <c r="C58" s="227"/>
      <c r="D58" s="227"/>
      <c r="E58" s="227"/>
      <c r="F58" s="227"/>
      <c r="G58" s="228"/>
      <c r="H58" s="229">
        <f>SUM(H14:J56)</f>
        <v>0</v>
      </c>
      <c r="I58" s="230"/>
      <c r="J58" s="231"/>
    </row>
    <row r="59" spans="2:10" ht="18.75" customHeight="1" thickBot="1">
      <c r="B59" s="207" t="s">
        <v>57</v>
      </c>
      <c r="C59" s="232"/>
      <c r="D59" s="232"/>
      <c r="E59" s="232"/>
      <c r="F59" s="232"/>
      <c r="G59" s="208"/>
      <c r="H59" s="229">
        <v>0</v>
      </c>
      <c r="I59" s="233"/>
      <c r="J59" s="234"/>
    </row>
    <row r="60" spans="2:10" ht="18.75" customHeight="1" thickBot="1">
      <c r="B60" s="207" t="s">
        <v>58</v>
      </c>
      <c r="C60" s="232"/>
      <c r="D60" s="232"/>
      <c r="E60" s="232"/>
      <c r="F60" s="232"/>
      <c r="G60" s="235"/>
      <c r="H60" s="236">
        <f>H58</f>
        <v>0</v>
      </c>
      <c r="I60" s="237"/>
      <c r="J60" s="238"/>
    </row>
    <row r="61" spans="2:10" ht="13.5">
      <c r="B61" s="38"/>
      <c r="C61" s="38"/>
      <c r="D61" s="38"/>
      <c r="E61" s="38"/>
      <c r="F61" s="38"/>
      <c r="G61" s="66"/>
      <c r="H61" s="27"/>
      <c r="I61" s="27"/>
      <c r="J61" s="27"/>
    </row>
    <row r="62" spans="2:10" ht="15" customHeight="1">
      <c r="G62" s="64" t="s">
        <v>270</v>
      </c>
    </row>
    <row r="63" spans="2:10" ht="58.15" customHeight="1">
      <c r="G63" s="223"/>
      <c r="H63" s="223"/>
      <c r="I63" s="223"/>
    </row>
    <row r="64" spans="2:10">
      <c r="B64" s="147"/>
      <c r="G64" s="224" t="s">
        <v>40</v>
      </c>
      <c r="H64" s="224"/>
      <c r="I64" s="224"/>
    </row>
    <row r="65" spans="7:9">
      <c r="G65" s="225" t="s">
        <v>41</v>
      </c>
      <c r="H65" s="225"/>
      <c r="I65" s="225"/>
    </row>
    <row r="66" spans="7:9" ht="36.6" customHeight="1"/>
  </sheetData>
  <sheetProtection formatCells="0" formatColumns="0" formatRows="0" insertColumns="0" insertRows="0"/>
  <mergeCells count="110">
    <mergeCell ref="B52:B53"/>
    <mergeCell ref="C52:C53"/>
    <mergeCell ref="F52:F53"/>
    <mergeCell ref="G52:G53"/>
    <mergeCell ref="H52:J53"/>
    <mergeCell ref="B56:B57"/>
    <mergeCell ref="C56:C57"/>
    <mergeCell ref="F56:F57"/>
    <mergeCell ref="G56:G57"/>
    <mergeCell ref="H56:J57"/>
    <mergeCell ref="B54:B55"/>
    <mergeCell ref="C54:C55"/>
    <mergeCell ref="F54:F55"/>
    <mergeCell ref="G54:G55"/>
    <mergeCell ref="H54:J55"/>
    <mergeCell ref="B50:B51"/>
    <mergeCell ref="C50:C51"/>
    <mergeCell ref="F50:F51"/>
    <mergeCell ref="G50:G51"/>
    <mergeCell ref="H50:J51"/>
    <mergeCell ref="B48:B49"/>
    <mergeCell ref="C48:C49"/>
    <mergeCell ref="F48:F49"/>
    <mergeCell ref="G48:G49"/>
    <mergeCell ref="H48:J49"/>
    <mergeCell ref="B42:B43"/>
    <mergeCell ref="C42:C43"/>
    <mergeCell ref="G42:G43"/>
    <mergeCell ref="H42:J43"/>
    <mergeCell ref="B44:B45"/>
    <mergeCell ref="C44:C45"/>
    <mergeCell ref="G44:G45"/>
    <mergeCell ref="H44:J45"/>
    <mergeCell ref="B46:B47"/>
    <mergeCell ref="C46:C47"/>
    <mergeCell ref="G46:G47"/>
    <mergeCell ref="H46:J47"/>
    <mergeCell ref="G63:I63"/>
    <mergeCell ref="G64:I64"/>
    <mergeCell ref="G65:I65"/>
    <mergeCell ref="B58:G58"/>
    <mergeCell ref="H58:J58"/>
    <mergeCell ref="B59:G59"/>
    <mergeCell ref="H59:J59"/>
    <mergeCell ref="B60:G60"/>
    <mergeCell ref="H60:J60"/>
    <mergeCell ref="A1:J1"/>
    <mergeCell ref="H4:J4"/>
    <mergeCell ref="B7:J7"/>
    <mergeCell ref="H13:J13"/>
    <mergeCell ref="B14:B15"/>
    <mergeCell ref="C14:C15"/>
    <mergeCell ref="F14:F15"/>
    <mergeCell ref="G14:G15"/>
    <mergeCell ref="H14:J15"/>
    <mergeCell ref="B20:B21"/>
    <mergeCell ref="C20:C21"/>
    <mergeCell ref="G20:G21"/>
    <mergeCell ref="H20:J21"/>
    <mergeCell ref="B22:B23"/>
    <mergeCell ref="C22:C23"/>
    <mergeCell ref="G22:G23"/>
    <mergeCell ref="H22:J23"/>
    <mergeCell ref="B16:B17"/>
    <mergeCell ref="C16:C17"/>
    <mergeCell ref="G16:G17"/>
    <mergeCell ref="H16:J17"/>
    <mergeCell ref="B18:B19"/>
    <mergeCell ref="C18:C19"/>
    <mergeCell ref="G18:G19"/>
    <mergeCell ref="H18:J19"/>
    <mergeCell ref="B28:B29"/>
    <mergeCell ref="C28:C29"/>
    <mergeCell ref="G28:G29"/>
    <mergeCell ref="H28:J29"/>
    <mergeCell ref="B30:B31"/>
    <mergeCell ref="C30:C31"/>
    <mergeCell ref="G30:G31"/>
    <mergeCell ref="H30:J31"/>
    <mergeCell ref="B24:B25"/>
    <mergeCell ref="C24:C25"/>
    <mergeCell ref="G24:G25"/>
    <mergeCell ref="H24:J25"/>
    <mergeCell ref="B26:B27"/>
    <mergeCell ref="C26:C27"/>
    <mergeCell ref="G26:G27"/>
    <mergeCell ref="H26:J27"/>
    <mergeCell ref="B38:B39"/>
    <mergeCell ref="C38:C39"/>
    <mergeCell ref="F38:F39"/>
    <mergeCell ref="G38:G39"/>
    <mergeCell ref="H38:J39"/>
    <mergeCell ref="B40:B41"/>
    <mergeCell ref="B32:B33"/>
    <mergeCell ref="C32:C33"/>
    <mergeCell ref="G32:G33"/>
    <mergeCell ref="H32:J33"/>
    <mergeCell ref="B34:B35"/>
    <mergeCell ref="C34:C35"/>
    <mergeCell ref="G34:G35"/>
    <mergeCell ref="H34:J35"/>
    <mergeCell ref="B36:B37"/>
    <mergeCell ref="C36:C37"/>
    <mergeCell ref="F36:F37"/>
    <mergeCell ref="G36:G37"/>
    <mergeCell ref="H36:J37"/>
    <mergeCell ref="C40:C41"/>
    <mergeCell ref="F40:F41"/>
    <mergeCell ref="G40:G41"/>
    <mergeCell ref="H40:J41"/>
  </mergeCells>
  <phoneticPr fontId="3"/>
  <dataValidations count="1">
    <dataValidation type="whole" allowBlank="1" showInputMessage="1" showErrorMessage="1" errorTitle="1円未満切捨" error="整数(半角）" sqref="H59:J59" xr:uid="{2F9D9E93-A712-4FFF-8AFF-687701C246E7}">
      <formula1>0</formula1>
      <formula2>999999999</formula2>
    </dataValidation>
  </dataValidations>
  <pageMargins left="0.70866141732283472" right="0.70866141732283472" top="0.74803149606299213" bottom="0.74803149606299213" header="0.31496062992125984" footer="0.31496062992125984"/>
  <pageSetup paperSize="9" scale="7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72"/>
  <sheetViews>
    <sheetView view="pageBreakPreview" topLeftCell="A9" zoomScaleNormal="100" zoomScaleSheetLayoutView="100" workbookViewId="0">
      <selection activeCell="H26" sqref="H26:J27"/>
    </sheetView>
  </sheetViews>
  <sheetFormatPr defaultColWidth="8.140625" defaultRowHeight="12"/>
  <cols>
    <col min="1" max="1" width="3.85546875" style="6" customWidth="1"/>
    <col min="2" max="2" width="14.140625" style="6" customWidth="1"/>
    <col min="3" max="3" width="5.28515625" style="6" customWidth="1"/>
    <col min="4" max="4" width="8.42578125" style="6" customWidth="1"/>
    <col min="5" max="5" width="13.28515625" style="6" customWidth="1"/>
    <col min="6" max="6" width="5.7109375" style="6" customWidth="1"/>
    <col min="7" max="7" width="21.85546875" style="64" customWidth="1"/>
    <col min="8" max="8" width="5.28515625" style="6" customWidth="1"/>
    <col min="9" max="9" width="8.7109375" style="6" customWidth="1"/>
    <col min="10" max="10" width="8.42578125" style="6" customWidth="1"/>
    <col min="11" max="11" width="15.42578125" style="70" bestFit="1" customWidth="1"/>
    <col min="12" max="12" width="8.5703125" style="6" bestFit="1" customWidth="1"/>
    <col min="13" max="16384" width="8.140625" style="6"/>
  </cols>
  <sheetData>
    <row r="1" spans="1:10" ht="20.100000000000001" customHeight="1">
      <c r="A1" s="203">
        <v>45626</v>
      </c>
      <c r="B1" s="239">
        <v>41698</v>
      </c>
      <c r="C1" s="239">
        <v>41698</v>
      </c>
      <c r="D1" s="239"/>
      <c r="E1" s="239"/>
      <c r="F1" s="239"/>
      <c r="G1" s="239">
        <v>41698</v>
      </c>
      <c r="H1" s="239">
        <v>41698</v>
      </c>
      <c r="I1" s="239">
        <v>41698</v>
      </c>
      <c r="J1" s="239">
        <v>41698</v>
      </c>
    </row>
    <row r="2" spans="1:10" ht="20.100000000000001" customHeight="1">
      <c r="A2" s="30"/>
      <c r="B2" s="31"/>
      <c r="C2" s="31"/>
      <c r="D2" s="31"/>
      <c r="E2" s="31"/>
      <c r="F2" s="31"/>
      <c r="G2" s="32"/>
      <c r="H2" s="31"/>
      <c r="I2" s="32"/>
      <c r="J2" s="33"/>
    </row>
    <row r="3" spans="1:10" ht="18.75" customHeight="1">
      <c r="A3" s="7"/>
      <c r="B3" s="7"/>
      <c r="C3" s="7"/>
      <c r="D3" s="7"/>
      <c r="E3" s="7"/>
      <c r="F3" s="7"/>
      <c r="G3" s="62"/>
      <c r="H3" s="7"/>
      <c r="I3" s="7"/>
      <c r="J3" s="8"/>
    </row>
    <row r="4" spans="1:10" ht="15" customHeight="1">
      <c r="A4" s="6" t="s">
        <v>37</v>
      </c>
      <c r="G4" s="63"/>
      <c r="H4" s="204">
        <v>45679</v>
      </c>
      <c r="I4" s="204"/>
      <c r="J4" s="204"/>
    </row>
    <row r="5" spans="1:10" ht="15" customHeight="1">
      <c r="A5" s="9"/>
      <c r="B5" s="9"/>
      <c r="C5" s="9"/>
      <c r="D5" s="9"/>
      <c r="E5" s="9"/>
      <c r="F5" s="9"/>
    </row>
    <row r="6" spans="1:10" ht="20.100000000000001" customHeight="1">
      <c r="A6" s="6" t="s">
        <v>42</v>
      </c>
      <c r="G6" s="25"/>
      <c r="H6" s="26"/>
      <c r="I6" s="26"/>
      <c r="J6" s="26"/>
    </row>
    <row r="7" spans="1:10" ht="20.100000000000001" customHeight="1">
      <c r="B7" s="205" t="s">
        <v>38</v>
      </c>
      <c r="C7" s="205"/>
      <c r="D7" s="205"/>
      <c r="E7" s="205"/>
      <c r="F7" s="205"/>
      <c r="G7" s="206"/>
      <c r="H7" s="206"/>
      <c r="I7" s="206"/>
      <c r="J7" s="206"/>
    </row>
    <row r="8" spans="1:10" ht="12.95" customHeight="1"/>
    <row r="9" spans="1:10" ht="15" customHeight="1">
      <c r="A9" s="6">
        <v>1</v>
      </c>
      <c r="B9" s="6" t="s">
        <v>43</v>
      </c>
      <c r="C9" s="6" t="s">
        <v>239</v>
      </c>
      <c r="G9" s="65"/>
      <c r="H9" s="22"/>
      <c r="I9" s="23"/>
      <c r="J9" s="23"/>
    </row>
    <row r="10" spans="1:10" ht="12.95" customHeight="1"/>
    <row r="11" spans="1:10" ht="15" customHeight="1"/>
    <row r="12" spans="1:10" ht="15" customHeight="1" thickBot="1">
      <c r="A12" s="6">
        <v>2</v>
      </c>
      <c r="B12" s="6" t="s">
        <v>44</v>
      </c>
      <c r="J12" s="10" t="s">
        <v>45</v>
      </c>
    </row>
    <row r="13" spans="1:10" ht="42.6" customHeight="1" thickBot="1">
      <c r="B13" s="11" t="s">
        <v>39</v>
      </c>
      <c r="C13" s="12" t="s">
        <v>46</v>
      </c>
      <c r="D13" s="13" t="s">
        <v>47</v>
      </c>
      <c r="E13" s="21" t="s">
        <v>48</v>
      </c>
      <c r="F13" s="34" t="s">
        <v>49</v>
      </c>
      <c r="G13" s="16" t="s">
        <v>50</v>
      </c>
      <c r="H13" s="207" t="s">
        <v>51</v>
      </c>
      <c r="I13" s="208"/>
      <c r="J13" s="209"/>
    </row>
    <row r="14" spans="1:10" ht="13.5" customHeight="1">
      <c r="B14" s="210" t="s">
        <v>25</v>
      </c>
      <c r="C14" s="211" t="s">
        <v>52</v>
      </c>
      <c r="D14" s="28" t="s">
        <v>53</v>
      </c>
      <c r="E14" s="36"/>
      <c r="F14" s="213">
        <v>0</v>
      </c>
      <c r="G14" s="215" t="s">
        <v>224</v>
      </c>
      <c r="H14" s="197">
        <f>E14</f>
        <v>0</v>
      </c>
      <c r="I14" s="198"/>
      <c r="J14" s="199"/>
    </row>
    <row r="15" spans="1:10" ht="21.6" customHeight="1">
      <c r="B15" s="210"/>
      <c r="C15" s="212"/>
      <c r="D15" s="18" t="s">
        <v>54</v>
      </c>
      <c r="E15" s="37"/>
      <c r="F15" s="214"/>
      <c r="G15" s="216"/>
      <c r="H15" s="200"/>
      <c r="I15" s="201"/>
      <c r="J15" s="202"/>
    </row>
    <row r="16" spans="1:10" ht="13.5" customHeight="1">
      <c r="B16" s="217" t="s">
        <v>141</v>
      </c>
      <c r="C16" s="211" t="s">
        <v>143</v>
      </c>
      <c r="D16" s="17" t="s">
        <v>53</v>
      </c>
      <c r="E16" s="35"/>
      <c r="F16" s="20"/>
      <c r="G16" s="219" t="s">
        <v>243</v>
      </c>
      <c r="H16" s="197">
        <f t="shared" ref="H16" si="0">E16</f>
        <v>0</v>
      </c>
      <c r="I16" s="198"/>
      <c r="J16" s="199"/>
    </row>
    <row r="17" spans="2:10" ht="13.5" customHeight="1">
      <c r="B17" s="218"/>
      <c r="C17" s="212"/>
      <c r="D17" s="18" t="s">
        <v>54</v>
      </c>
      <c r="E17" s="17"/>
      <c r="F17" s="15">
        <v>0</v>
      </c>
      <c r="G17" s="219"/>
      <c r="H17" s="200"/>
      <c r="I17" s="201"/>
      <c r="J17" s="202"/>
    </row>
    <row r="18" spans="2:10" ht="13.5" customHeight="1">
      <c r="B18" s="217" t="s">
        <v>26</v>
      </c>
      <c r="C18" s="211" t="s">
        <v>55</v>
      </c>
      <c r="D18" s="17" t="s">
        <v>53</v>
      </c>
      <c r="E18" s="35"/>
      <c r="F18" s="20"/>
      <c r="G18" s="220" t="s">
        <v>225</v>
      </c>
      <c r="H18" s="197">
        <f t="shared" ref="H18" si="1">E18</f>
        <v>0</v>
      </c>
      <c r="I18" s="198"/>
      <c r="J18" s="199"/>
    </row>
    <row r="19" spans="2:10" ht="13.5" customHeight="1">
      <c r="B19" s="218"/>
      <c r="C19" s="212"/>
      <c r="D19" s="18" t="s">
        <v>54</v>
      </c>
      <c r="E19" s="17"/>
      <c r="F19" s="15">
        <v>0</v>
      </c>
      <c r="G19" s="220"/>
      <c r="H19" s="200"/>
      <c r="I19" s="201"/>
      <c r="J19" s="202"/>
    </row>
    <row r="20" spans="2:10" ht="13.5" customHeight="1">
      <c r="B20" s="217" t="s">
        <v>93</v>
      </c>
      <c r="C20" s="211" t="s">
        <v>55</v>
      </c>
      <c r="D20" s="17" t="s">
        <v>53</v>
      </c>
      <c r="E20" s="35"/>
      <c r="F20" s="14"/>
      <c r="G20" s="220" t="s">
        <v>226</v>
      </c>
      <c r="H20" s="197">
        <f t="shared" ref="H20" si="2">E20</f>
        <v>0</v>
      </c>
      <c r="I20" s="198"/>
      <c r="J20" s="199"/>
    </row>
    <row r="21" spans="2:10" ht="13.5" customHeight="1">
      <c r="B21" s="218"/>
      <c r="C21" s="212"/>
      <c r="D21" s="18" t="s">
        <v>54</v>
      </c>
      <c r="E21" s="17"/>
      <c r="F21" s="15">
        <v>0</v>
      </c>
      <c r="G21" s="220"/>
      <c r="H21" s="200"/>
      <c r="I21" s="201"/>
      <c r="J21" s="202"/>
    </row>
    <row r="22" spans="2:10" ht="13.5" customHeight="1">
      <c r="B22" s="217" t="s">
        <v>133</v>
      </c>
      <c r="C22" s="211" t="s">
        <v>142</v>
      </c>
      <c r="D22" s="17" t="s">
        <v>53</v>
      </c>
      <c r="E22" s="35"/>
      <c r="F22" s="19"/>
      <c r="G22" s="196" t="s">
        <v>242</v>
      </c>
      <c r="H22" s="197">
        <f t="shared" ref="H22" si="3">E22</f>
        <v>0</v>
      </c>
      <c r="I22" s="198"/>
      <c r="J22" s="199"/>
    </row>
    <row r="23" spans="2:10" ht="13.5" customHeight="1">
      <c r="B23" s="218"/>
      <c r="C23" s="212"/>
      <c r="D23" s="18" t="s">
        <v>54</v>
      </c>
      <c r="E23" s="17"/>
      <c r="F23" s="18">
        <v>2.5</v>
      </c>
      <c r="G23" s="196"/>
      <c r="H23" s="200"/>
      <c r="I23" s="201"/>
      <c r="J23" s="202"/>
    </row>
    <row r="24" spans="2:10" ht="13.5" customHeight="1">
      <c r="B24" s="217" t="s">
        <v>145</v>
      </c>
      <c r="C24" s="211" t="s">
        <v>144</v>
      </c>
      <c r="D24" s="17" t="s">
        <v>53</v>
      </c>
      <c r="E24" s="35"/>
      <c r="F24" s="24"/>
      <c r="G24" s="196" t="s">
        <v>244</v>
      </c>
      <c r="H24" s="197">
        <f t="shared" ref="H24" si="4">E24</f>
        <v>0</v>
      </c>
      <c r="I24" s="198"/>
      <c r="J24" s="199"/>
    </row>
    <row r="25" spans="2:10" ht="13.5" customHeight="1">
      <c r="B25" s="218"/>
      <c r="C25" s="212"/>
      <c r="D25" s="18" t="s">
        <v>54</v>
      </c>
      <c r="E25" s="17"/>
      <c r="F25" s="15">
        <v>0</v>
      </c>
      <c r="G25" s="196"/>
      <c r="H25" s="200"/>
      <c r="I25" s="201"/>
      <c r="J25" s="202"/>
    </row>
    <row r="26" spans="2:10" ht="13.5" customHeight="1">
      <c r="B26" s="217" t="s">
        <v>135</v>
      </c>
      <c r="C26" s="211" t="s">
        <v>134</v>
      </c>
      <c r="D26" s="17" t="s">
        <v>53</v>
      </c>
      <c r="E26" s="35"/>
      <c r="F26" s="24"/>
      <c r="G26" s="196" t="s">
        <v>245</v>
      </c>
      <c r="H26" s="197">
        <f t="shared" ref="H26" si="5">E26</f>
        <v>0</v>
      </c>
      <c r="I26" s="198"/>
      <c r="J26" s="199"/>
    </row>
    <row r="27" spans="2:10" ht="13.5" customHeight="1">
      <c r="B27" s="218"/>
      <c r="C27" s="212"/>
      <c r="D27" s="18" t="s">
        <v>54</v>
      </c>
      <c r="E27" s="17"/>
      <c r="F27" s="15">
        <v>3.5</v>
      </c>
      <c r="G27" s="196"/>
      <c r="H27" s="200"/>
      <c r="I27" s="201"/>
      <c r="J27" s="202"/>
    </row>
    <row r="28" spans="2:10" ht="13.5" customHeight="1">
      <c r="B28" s="217" t="s">
        <v>27</v>
      </c>
      <c r="C28" s="221" t="s">
        <v>10</v>
      </c>
      <c r="D28" s="17" t="s">
        <v>53</v>
      </c>
      <c r="E28" s="35"/>
      <c r="F28" s="24"/>
      <c r="G28" s="196" t="s">
        <v>227</v>
      </c>
      <c r="H28" s="197">
        <f t="shared" ref="H28" si="6">E28</f>
        <v>0</v>
      </c>
      <c r="I28" s="198"/>
      <c r="J28" s="199"/>
    </row>
    <row r="29" spans="2:10" ht="13.5" customHeight="1">
      <c r="B29" s="218"/>
      <c r="C29" s="222"/>
      <c r="D29" s="18" t="s">
        <v>54</v>
      </c>
      <c r="E29" s="17"/>
      <c r="F29" s="15">
        <v>0</v>
      </c>
      <c r="G29" s="196"/>
      <c r="H29" s="200"/>
      <c r="I29" s="201"/>
      <c r="J29" s="202"/>
    </row>
    <row r="30" spans="2:10" ht="13.5" customHeight="1">
      <c r="B30" s="217" t="s">
        <v>28</v>
      </c>
      <c r="C30" s="221" t="s">
        <v>10</v>
      </c>
      <c r="D30" s="17" t="s">
        <v>53</v>
      </c>
      <c r="E30" s="35"/>
      <c r="F30" s="24"/>
      <c r="G30" s="196" t="s">
        <v>229</v>
      </c>
      <c r="H30" s="197">
        <f t="shared" ref="H30" si="7">E30</f>
        <v>0</v>
      </c>
      <c r="I30" s="198"/>
      <c r="J30" s="199"/>
    </row>
    <row r="31" spans="2:10" ht="13.5" customHeight="1">
      <c r="B31" s="210"/>
      <c r="C31" s="222"/>
      <c r="D31" s="18" t="s">
        <v>54</v>
      </c>
      <c r="E31" s="17"/>
      <c r="F31" s="15">
        <v>0</v>
      </c>
      <c r="G31" s="196"/>
      <c r="H31" s="200"/>
      <c r="I31" s="201"/>
      <c r="J31" s="202"/>
    </row>
    <row r="32" spans="2:10" ht="13.5" customHeight="1">
      <c r="B32" s="217" t="s">
        <v>29</v>
      </c>
      <c r="C32" s="221" t="s">
        <v>10</v>
      </c>
      <c r="D32" s="17" t="s">
        <v>53</v>
      </c>
      <c r="E32" s="35"/>
      <c r="F32" s="24"/>
      <c r="G32" s="196" t="s">
        <v>230</v>
      </c>
      <c r="H32" s="197">
        <f t="shared" ref="H32" si="8">E32</f>
        <v>0</v>
      </c>
      <c r="I32" s="198"/>
      <c r="J32" s="199"/>
    </row>
    <row r="33" spans="2:10" ht="13.5" customHeight="1">
      <c r="B33" s="218"/>
      <c r="C33" s="222"/>
      <c r="D33" s="18" t="s">
        <v>54</v>
      </c>
      <c r="E33" s="17"/>
      <c r="F33" s="15">
        <v>0</v>
      </c>
      <c r="G33" s="196"/>
      <c r="H33" s="200"/>
      <c r="I33" s="201"/>
      <c r="J33" s="202"/>
    </row>
    <row r="34" spans="2:10" ht="13.5" customHeight="1">
      <c r="B34" s="217" t="s">
        <v>30</v>
      </c>
      <c r="C34" s="221" t="s">
        <v>10</v>
      </c>
      <c r="D34" s="17" t="s">
        <v>53</v>
      </c>
      <c r="E34" s="35"/>
      <c r="F34" s="24"/>
      <c r="G34" s="196" t="s">
        <v>231</v>
      </c>
      <c r="H34" s="197">
        <f t="shared" ref="H34" si="9">E34</f>
        <v>0</v>
      </c>
      <c r="I34" s="198"/>
      <c r="J34" s="199"/>
    </row>
    <row r="35" spans="2:10" ht="13.5" customHeight="1">
      <c r="B35" s="218"/>
      <c r="C35" s="222"/>
      <c r="D35" s="18" t="s">
        <v>54</v>
      </c>
      <c r="E35" s="17"/>
      <c r="F35" s="15">
        <v>0</v>
      </c>
      <c r="G35" s="196"/>
      <c r="H35" s="200"/>
      <c r="I35" s="201"/>
      <c r="J35" s="202"/>
    </row>
    <row r="36" spans="2:10" ht="13.5" customHeight="1">
      <c r="B36" s="217" t="s">
        <v>31</v>
      </c>
      <c r="C36" s="221" t="s">
        <v>10</v>
      </c>
      <c r="D36" s="17" t="s">
        <v>53</v>
      </c>
      <c r="E36" s="35"/>
      <c r="F36" s="24"/>
      <c r="G36" s="196" t="s">
        <v>232</v>
      </c>
      <c r="H36" s="197">
        <f t="shared" ref="H36" si="10">E36</f>
        <v>0</v>
      </c>
      <c r="I36" s="198"/>
      <c r="J36" s="199"/>
    </row>
    <row r="37" spans="2:10" ht="13.5" customHeight="1">
      <c r="B37" s="218"/>
      <c r="C37" s="222"/>
      <c r="D37" s="18" t="s">
        <v>54</v>
      </c>
      <c r="E37" s="17"/>
      <c r="F37" s="15">
        <v>0</v>
      </c>
      <c r="G37" s="196"/>
      <c r="H37" s="200"/>
      <c r="I37" s="201"/>
      <c r="J37" s="202"/>
    </row>
    <row r="38" spans="2:10" ht="13.5" customHeight="1">
      <c r="B38" s="217" t="s">
        <v>32</v>
      </c>
      <c r="C38" s="221" t="s">
        <v>10</v>
      </c>
      <c r="D38" s="17" t="s">
        <v>53</v>
      </c>
      <c r="E38" s="35"/>
      <c r="F38" s="194">
        <v>0</v>
      </c>
      <c r="G38" s="196" t="s">
        <v>227</v>
      </c>
      <c r="H38" s="197">
        <f t="shared" ref="H38" si="11">E38</f>
        <v>0</v>
      </c>
      <c r="I38" s="198"/>
      <c r="J38" s="199"/>
    </row>
    <row r="39" spans="2:10" ht="15.95" customHeight="1">
      <c r="B39" s="218"/>
      <c r="C39" s="222"/>
      <c r="D39" s="18" t="s">
        <v>54</v>
      </c>
      <c r="E39" s="17"/>
      <c r="F39" s="195"/>
      <c r="G39" s="196"/>
      <c r="H39" s="200"/>
      <c r="I39" s="201"/>
      <c r="J39" s="202"/>
    </row>
    <row r="40" spans="2:10" ht="13.5" customHeight="1">
      <c r="B40" s="217" t="s">
        <v>33</v>
      </c>
      <c r="C40" s="221" t="s">
        <v>10</v>
      </c>
      <c r="D40" s="17" t="s">
        <v>53</v>
      </c>
      <c r="E40" s="35"/>
      <c r="F40" s="194">
        <v>0</v>
      </c>
      <c r="G40" s="196" t="s">
        <v>230</v>
      </c>
      <c r="H40" s="197">
        <f t="shared" ref="H40" si="12">E40</f>
        <v>0</v>
      </c>
      <c r="I40" s="198"/>
      <c r="J40" s="199"/>
    </row>
    <row r="41" spans="2:10" ht="15.95" customHeight="1">
      <c r="B41" s="218"/>
      <c r="C41" s="222"/>
      <c r="D41" s="18" t="s">
        <v>54</v>
      </c>
      <c r="E41" s="17"/>
      <c r="F41" s="195"/>
      <c r="G41" s="196"/>
      <c r="H41" s="200"/>
      <c r="I41" s="201"/>
      <c r="J41" s="202"/>
    </row>
    <row r="42" spans="2:10" ht="13.5" customHeight="1">
      <c r="B42" s="217" t="s">
        <v>221</v>
      </c>
      <c r="C42" s="221" t="s">
        <v>10</v>
      </c>
      <c r="D42" s="17" t="s">
        <v>53</v>
      </c>
      <c r="E42" s="35"/>
      <c r="F42" s="194">
        <v>0</v>
      </c>
      <c r="G42" s="196" t="s">
        <v>227</v>
      </c>
      <c r="H42" s="197">
        <f t="shared" ref="H42" si="13">E42</f>
        <v>0</v>
      </c>
      <c r="I42" s="198"/>
      <c r="J42" s="199"/>
    </row>
    <row r="43" spans="2:10" ht="15.95" customHeight="1">
      <c r="B43" s="218"/>
      <c r="C43" s="222"/>
      <c r="D43" s="18" t="s">
        <v>54</v>
      </c>
      <c r="E43" s="17"/>
      <c r="F43" s="195"/>
      <c r="G43" s="196"/>
      <c r="H43" s="200"/>
      <c r="I43" s="201"/>
      <c r="J43" s="202"/>
    </row>
    <row r="44" spans="2:10" ht="13.5" customHeight="1">
      <c r="B44" s="217" t="s">
        <v>94</v>
      </c>
      <c r="C44" s="221" t="s">
        <v>95</v>
      </c>
      <c r="D44" s="17" t="s">
        <v>53</v>
      </c>
      <c r="E44" s="35"/>
      <c r="F44" s="24"/>
      <c r="G44" s="196" t="s">
        <v>234</v>
      </c>
      <c r="H44" s="197">
        <f t="shared" ref="H44" si="14">E44</f>
        <v>0</v>
      </c>
      <c r="I44" s="198"/>
      <c r="J44" s="199"/>
    </row>
    <row r="45" spans="2:10" ht="13.5" customHeight="1">
      <c r="B45" s="218"/>
      <c r="C45" s="222"/>
      <c r="D45" s="18" t="s">
        <v>54</v>
      </c>
      <c r="E45" s="17"/>
      <c r="F45" s="15">
        <v>0</v>
      </c>
      <c r="G45" s="196"/>
      <c r="H45" s="200"/>
      <c r="I45" s="201"/>
      <c r="J45" s="202"/>
    </row>
    <row r="46" spans="2:10" ht="13.5" customHeight="1">
      <c r="B46" s="217" t="s">
        <v>100</v>
      </c>
      <c r="C46" s="221" t="s">
        <v>95</v>
      </c>
      <c r="D46" s="17" t="s">
        <v>53</v>
      </c>
      <c r="E46" s="35"/>
      <c r="F46" s="24"/>
      <c r="G46" s="196" t="s">
        <v>227</v>
      </c>
      <c r="H46" s="197">
        <f t="shared" ref="H46" si="15">E46</f>
        <v>0</v>
      </c>
      <c r="I46" s="198"/>
      <c r="J46" s="199"/>
    </row>
    <row r="47" spans="2:10" ht="13.5" customHeight="1">
      <c r="B47" s="218"/>
      <c r="C47" s="222"/>
      <c r="D47" s="18" t="s">
        <v>54</v>
      </c>
      <c r="E47" s="17"/>
      <c r="F47" s="15">
        <v>0</v>
      </c>
      <c r="G47" s="196"/>
      <c r="H47" s="200"/>
      <c r="I47" s="201"/>
      <c r="J47" s="202"/>
    </row>
    <row r="48" spans="2:10" ht="13.5" customHeight="1">
      <c r="B48" s="217" t="s">
        <v>130</v>
      </c>
      <c r="C48" s="221" t="s">
        <v>95</v>
      </c>
      <c r="D48" s="17" t="s">
        <v>53</v>
      </c>
      <c r="E48" s="35"/>
      <c r="F48" s="24"/>
      <c r="G48" s="196" t="s">
        <v>234</v>
      </c>
      <c r="H48" s="197">
        <f t="shared" ref="H48" si="16">E48</f>
        <v>0</v>
      </c>
      <c r="I48" s="198"/>
      <c r="J48" s="199"/>
    </row>
    <row r="49" spans="2:10" ht="13.5" customHeight="1">
      <c r="B49" s="218"/>
      <c r="C49" s="222"/>
      <c r="D49" s="18" t="s">
        <v>54</v>
      </c>
      <c r="E49" s="17"/>
      <c r="F49" s="15">
        <v>0</v>
      </c>
      <c r="G49" s="196"/>
      <c r="H49" s="200"/>
      <c r="I49" s="201"/>
      <c r="J49" s="202"/>
    </row>
    <row r="50" spans="2:10" ht="13.5" customHeight="1">
      <c r="B50" s="217" t="s">
        <v>218</v>
      </c>
      <c r="C50" s="221" t="s">
        <v>95</v>
      </c>
      <c r="D50" s="17" t="s">
        <v>53</v>
      </c>
      <c r="E50" s="35"/>
      <c r="F50" s="194">
        <v>0</v>
      </c>
      <c r="G50" s="196" t="s">
        <v>234</v>
      </c>
      <c r="H50" s="197">
        <f>E50</f>
        <v>0</v>
      </c>
      <c r="I50" s="198"/>
      <c r="J50" s="199"/>
    </row>
    <row r="51" spans="2:10" ht="15.6" customHeight="1">
      <c r="B51" s="218"/>
      <c r="C51" s="222"/>
      <c r="D51" s="18" t="s">
        <v>54</v>
      </c>
      <c r="E51" s="17"/>
      <c r="F51" s="195"/>
      <c r="G51" s="196"/>
      <c r="H51" s="200"/>
      <c r="I51" s="201"/>
      <c r="J51" s="202"/>
    </row>
    <row r="52" spans="2:10" ht="13.5" customHeight="1">
      <c r="B52" s="217" t="s">
        <v>220</v>
      </c>
      <c r="C52" s="221" t="s">
        <v>95</v>
      </c>
      <c r="D52" s="17" t="s">
        <v>53</v>
      </c>
      <c r="E52" s="35"/>
      <c r="F52" s="194">
        <v>0</v>
      </c>
      <c r="G52" s="196" t="s">
        <v>234</v>
      </c>
      <c r="H52" s="197">
        <f>E52</f>
        <v>0</v>
      </c>
      <c r="I52" s="198"/>
      <c r="J52" s="199"/>
    </row>
    <row r="53" spans="2:10" ht="15.6" customHeight="1">
      <c r="B53" s="218"/>
      <c r="C53" s="222"/>
      <c r="D53" s="18" t="s">
        <v>54</v>
      </c>
      <c r="E53" s="17"/>
      <c r="F53" s="195"/>
      <c r="G53" s="196"/>
      <c r="H53" s="200"/>
      <c r="I53" s="201"/>
      <c r="J53" s="202"/>
    </row>
    <row r="54" spans="2:10" ht="13.5" customHeight="1">
      <c r="B54" s="217" t="s">
        <v>222</v>
      </c>
      <c r="C54" s="221" t="s">
        <v>95</v>
      </c>
      <c r="D54" s="17" t="s">
        <v>53</v>
      </c>
      <c r="E54" s="35"/>
      <c r="F54" s="194">
        <v>0</v>
      </c>
      <c r="G54" s="196" t="s">
        <v>230</v>
      </c>
      <c r="H54" s="197">
        <f>E54</f>
        <v>0</v>
      </c>
      <c r="I54" s="198"/>
      <c r="J54" s="199"/>
    </row>
    <row r="55" spans="2:10" ht="15.6" customHeight="1">
      <c r="B55" s="218"/>
      <c r="C55" s="222"/>
      <c r="D55" s="18" t="s">
        <v>54</v>
      </c>
      <c r="E55" s="17"/>
      <c r="F55" s="195"/>
      <c r="G55" s="196"/>
      <c r="H55" s="200"/>
      <c r="I55" s="201"/>
      <c r="J55" s="202"/>
    </row>
    <row r="56" spans="2:10" ht="13.5" customHeight="1">
      <c r="B56" s="217" t="s">
        <v>146</v>
      </c>
      <c r="C56" s="221" t="s">
        <v>136</v>
      </c>
      <c r="D56" s="17" t="s">
        <v>53</v>
      </c>
      <c r="E56" s="35"/>
      <c r="F56" s="24"/>
      <c r="G56" s="196" t="s">
        <v>246</v>
      </c>
      <c r="H56" s="197">
        <f t="shared" ref="H56" si="17">E56</f>
        <v>0</v>
      </c>
      <c r="I56" s="198"/>
      <c r="J56" s="199"/>
    </row>
    <row r="57" spans="2:10" ht="13.5" customHeight="1">
      <c r="B57" s="218"/>
      <c r="C57" s="222"/>
      <c r="D57" s="18" t="s">
        <v>54</v>
      </c>
      <c r="E57" s="17"/>
      <c r="F57" s="15">
        <v>0</v>
      </c>
      <c r="G57" s="196"/>
      <c r="H57" s="200"/>
      <c r="I57" s="201"/>
      <c r="J57" s="202"/>
    </row>
    <row r="58" spans="2:10" ht="13.5" customHeight="1">
      <c r="B58" s="217" t="s">
        <v>219</v>
      </c>
      <c r="C58" s="221" t="s">
        <v>86</v>
      </c>
      <c r="D58" s="17" t="s">
        <v>53</v>
      </c>
      <c r="E58" s="35"/>
      <c r="F58" s="194">
        <v>0</v>
      </c>
      <c r="G58" s="196" t="s">
        <v>235</v>
      </c>
      <c r="H58" s="197">
        <f>E58</f>
        <v>0</v>
      </c>
      <c r="I58" s="198"/>
      <c r="J58" s="199"/>
    </row>
    <row r="59" spans="2:10" ht="15.95" customHeight="1">
      <c r="B59" s="218"/>
      <c r="C59" s="222"/>
      <c r="D59" s="18" t="s">
        <v>54</v>
      </c>
      <c r="E59" s="17"/>
      <c r="F59" s="195"/>
      <c r="G59" s="196"/>
      <c r="H59" s="200"/>
      <c r="I59" s="201"/>
      <c r="J59" s="202"/>
    </row>
    <row r="60" spans="2:10" ht="13.5" customHeight="1">
      <c r="B60" s="217" t="s">
        <v>223</v>
      </c>
      <c r="C60" s="221" t="s">
        <v>86</v>
      </c>
      <c r="D60" s="17" t="s">
        <v>53</v>
      </c>
      <c r="E60" s="35"/>
      <c r="F60" s="194">
        <v>0</v>
      </c>
      <c r="G60" s="196" t="s">
        <v>237</v>
      </c>
      <c r="H60" s="197">
        <f t="shared" ref="H60" si="18">E60</f>
        <v>0</v>
      </c>
      <c r="I60" s="198"/>
      <c r="J60" s="199"/>
    </row>
    <row r="61" spans="2:10" ht="15.95" customHeight="1">
      <c r="B61" s="218"/>
      <c r="C61" s="222"/>
      <c r="D61" s="18" t="s">
        <v>54</v>
      </c>
      <c r="E61" s="17"/>
      <c r="F61" s="195"/>
      <c r="G61" s="196"/>
      <c r="H61" s="200"/>
      <c r="I61" s="201"/>
      <c r="J61" s="202"/>
    </row>
    <row r="62" spans="2:10" ht="13.5" customHeight="1">
      <c r="B62" s="217" t="s">
        <v>129</v>
      </c>
      <c r="C62" s="221" t="s">
        <v>86</v>
      </c>
      <c r="D62" s="17" t="s">
        <v>53</v>
      </c>
      <c r="E62" s="35"/>
      <c r="F62" s="194">
        <v>0</v>
      </c>
      <c r="G62" s="196" t="s">
        <v>236</v>
      </c>
      <c r="H62" s="197">
        <f t="shared" ref="H62" si="19">E62</f>
        <v>0</v>
      </c>
      <c r="I62" s="198"/>
      <c r="J62" s="199"/>
    </row>
    <row r="63" spans="2:10" ht="15.95" customHeight="1">
      <c r="B63" s="218"/>
      <c r="C63" s="222"/>
      <c r="D63" s="18" t="s">
        <v>54</v>
      </c>
      <c r="E63" s="17"/>
      <c r="F63" s="195"/>
      <c r="G63" s="196"/>
      <c r="H63" s="200"/>
      <c r="I63" s="201"/>
      <c r="J63" s="202"/>
    </row>
    <row r="64" spans="2:10" ht="18.75" customHeight="1" thickBot="1">
      <c r="B64" s="226" t="s">
        <v>56</v>
      </c>
      <c r="C64" s="227"/>
      <c r="D64" s="227"/>
      <c r="E64" s="227"/>
      <c r="F64" s="227"/>
      <c r="G64" s="228"/>
      <c r="H64" s="229">
        <f>SUM(H14:J62)</f>
        <v>0</v>
      </c>
      <c r="I64" s="230"/>
      <c r="J64" s="231"/>
    </row>
    <row r="65" spans="2:10" ht="18.75" customHeight="1" thickBot="1">
      <c r="B65" s="207" t="s">
        <v>57</v>
      </c>
      <c r="C65" s="232"/>
      <c r="D65" s="232"/>
      <c r="E65" s="232"/>
      <c r="F65" s="232"/>
      <c r="G65" s="208"/>
      <c r="H65" s="229">
        <v>0</v>
      </c>
      <c r="I65" s="233"/>
      <c r="J65" s="234"/>
    </row>
    <row r="66" spans="2:10" ht="18.75" customHeight="1" thickBot="1">
      <c r="B66" s="207" t="s">
        <v>58</v>
      </c>
      <c r="C66" s="232"/>
      <c r="D66" s="232"/>
      <c r="E66" s="232"/>
      <c r="F66" s="232"/>
      <c r="G66" s="235"/>
      <c r="H66" s="236">
        <f>H64</f>
        <v>0</v>
      </c>
      <c r="I66" s="237"/>
      <c r="J66" s="238"/>
    </row>
    <row r="67" spans="2:10" ht="13.5">
      <c r="B67" s="38"/>
      <c r="C67" s="38"/>
      <c r="D67" s="38"/>
      <c r="E67" s="38"/>
      <c r="F67" s="38"/>
      <c r="G67" s="66"/>
      <c r="H67" s="27"/>
      <c r="I67" s="27"/>
      <c r="J67" s="27"/>
    </row>
    <row r="68" spans="2:10" ht="15" customHeight="1">
      <c r="G68" s="64" t="s">
        <v>270</v>
      </c>
    </row>
    <row r="69" spans="2:10" ht="58.15" customHeight="1">
      <c r="G69" s="223"/>
      <c r="H69" s="223"/>
      <c r="I69" s="223"/>
    </row>
    <row r="70" spans="2:10">
      <c r="G70" s="224" t="s">
        <v>40</v>
      </c>
      <c r="H70" s="224"/>
      <c r="I70" s="224"/>
    </row>
    <row r="71" spans="2:10">
      <c r="B71" s="147"/>
      <c r="G71" s="225" t="s">
        <v>41</v>
      </c>
      <c r="H71" s="225"/>
      <c r="I71" s="225"/>
    </row>
    <row r="72" spans="2:10" ht="36.6" customHeight="1"/>
  </sheetData>
  <sheetProtection formatCells="0" formatColumns="0" formatRows="0" insertColumns="0" insertRows="0"/>
  <mergeCells count="123">
    <mergeCell ref="B62:B63"/>
    <mergeCell ref="C62:C63"/>
    <mergeCell ref="F62:F63"/>
    <mergeCell ref="G62:G63"/>
    <mergeCell ref="H62:J63"/>
    <mergeCell ref="B50:B51"/>
    <mergeCell ref="C50:C51"/>
    <mergeCell ref="F50:F51"/>
    <mergeCell ref="G50:G51"/>
    <mergeCell ref="H50:J51"/>
    <mergeCell ref="B52:B53"/>
    <mergeCell ref="C52:C53"/>
    <mergeCell ref="F52:F53"/>
    <mergeCell ref="B58:B59"/>
    <mergeCell ref="C58:C59"/>
    <mergeCell ref="F58:F59"/>
    <mergeCell ref="G58:G59"/>
    <mergeCell ref="H58:J59"/>
    <mergeCell ref="G52:G53"/>
    <mergeCell ref="H52:J53"/>
    <mergeCell ref="B60:B61"/>
    <mergeCell ref="C60:C61"/>
    <mergeCell ref="F60:F61"/>
    <mergeCell ref="G60:G61"/>
    <mergeCell ref="G69:I69"/>
    <mergeCell ref="G70:I70"/>
    <mergeCell ref="G71:I71"/>
    <mergeCell ref="B64:G64"/>
    <mergeCell ref="H64:J64"/>
    <mergeCell ref="B65:G65"/>
    <mergeCell ref="H65:J65"/>
    <mergeCell ref="B66:G66"/>
    <mergeCell ref="H66:J66"/>
    <mergeCell ref="H30:J31"/>
    <mergeCell ref="F14:F15"/>
    <mergeCell ref="H32:J33"/>
    <mergeCell ref="G28:G29"/>
    <mergeCell ref="H26:J27"/>
    <mergeCell ref="H24:J25"/>
    <mergeCell ref="G22:G23"/>
    <mergeCell ref="H22:J23"/>
    <mergeCell ref="H28:J29"/>
    <mergeCell ref="H16:J17"/>
    <mergeCell ref="G20:G21"/>
    <mergeCell ref="G16:G17"/>
    <mergeCell ref="G18:G19"/>
    <mergeCell ref="H18:J19"/>
    <mergeCell ref="H20:J21"/>
    <mergeCell ref="B34:B35"/>
    <mergeCell ref="C34:C35"/>
    <mergeCell ref="G34:G35"/>
    <mergeCell ref="H34:J35"/>
    <mergeCell ref="B38:B39"/>
    <mergeCell ref="C38:C39"/>
    <mergeCell ref="F38:F39"/>
    <mergeCell ref="G38:G39"/>
    <mergeCell ref="H38:J39"/>
    <mergeCell ref="B36:B37"/>
    <mergeCell ref="C36:C37"/>
    <mergeCell ref="G36:G37"/>
    <mergeCell ref="H36:J37"/>
    <mergeCell ref="B32:B33"/>
    <mergeCell ref="G24:G25"/>
    <mergeCell ref="C24:C25"/>
    <mergeCell ref="C26:C27"/>
    <mergeCell ref="C32:C33"/>
    <mergeCell ref="G32:G33"/>
    <mergeCell ref="B28:B29"/>
    <mergeCell ref="C28:C29"/>
    <mergeCell ref="G26:G27"/>
    <mergeCell ref="B26:B27"/>
    <mergeCell ref="B24:B25"/>
    <mergeCell ref="B30:B31"/>
    <mergeCell ref="C30:C31"/>
    <mergeCell ref="G30:G31"/>
    <mergeCell ref="A1:J1"/>
    <mergeCell ref="B7:J7"/>
    <mergeCell ref="G14:G15"/>
    <mergeCell ref="H4:J4"/>
    <mergeCell ref="B22:B23"/>
    <mergeCell ref="H14:J15"/>
    <mergeCell ref="H13:J13"/>
    <mergeCell ref="B14:B15"/>
    <mergeCell ref="C14:C15"/>
    <mergeCell ref="B18:B19"/>
    <mergeCell ref="C18:C19"/>
    <mergeCell ref="B16:B17"/>
    <mergeCell ref="C16:C17"/>
    <mergeCell ref="B20:B21"/>
    <mergeCell ref="C20:C21"/>
    <mergeCell ref="C22:C23"/>
    <mergeCell ref="B42:B43"/>
    <mergeCell ref="C42:C43"/>
    <mergeCell ref="F42:F43"/>
    <mergeCell ref="G42:G43"/>
    <mergeCell ref="H42:J43"/>
    <mergeCell ref="B40:B41"/>
    <mergeCell ref="C40:C41"/>
    <mergeCell ref="F40:F41"/>
    <mergeCell ref="G40:G41"/>
    <mergeCell ref="H40:J41"/>
    <mergeCell ref="B44:B45"/>
    <mergeCell ref="C44:C45"/>
    <mergeCell ref="G44:G45"/>
    <mergeCell ref="H44:J45"/>
    <mergeCell ref="B46:B47"/>
    <mergeCell ref="C46:C47"/>
    <mergeCell ref="G46:G47"/>
    <mergeCell ref="H46:J47"/>
    <mergeCell ref="B48:B49"/>
    <mergeCell ref="C48:C49"/>
    <mergeCell ref="G48:G49"/>
    <mergeCell ref="H48:J49"/>
    <mergeCell ref="H60:J61"/>
    <mergeCell ref="B54:B55"/>
    <mergeCell ref="C54:C55"/>
    <mergeCell ref="F54:F55"/>
    <mergeCell ref="G54:G55"/>
    <mergeCell ref="H54:J55"/>
    <mergeCell ref="B56:B57"/>
    <mergeCell ref="C56:C57"/>
    <mergeCell ref="G56:G57"/>
    <mergeCell ref="H56:J57"/>
  </mergeCells>
  <phoneticPr fontId="3"/>
  <dataValidations disablePrompts="1" count="1">
    <dataValidation type="whole" allowBlank="1" showInputMessage="1" showErrorMessage="1" errorTitle="1円未満切捨" error="整数(半角）" sqref="H65:J65" xr:uid="{866243E1-F86F-457E-B132-FE7896BE3934}">
      <formula1>0</formula1>
      <formula2>999999999</formula2>
    </dataValidation>
  </dataValidations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74"/>
  <sheetViews>
    <sheetView view="pageBreakPreview" topLeftCell="A15" zoomScaleNormal="100" zoomScaleSheetLayoutView="100" workbookViewId="0">
      <selection activeCell="H26" sqref="H26:J27"/>
    </sheetView>
  </sheetViews>
  <sheetFormatPr defaultColWidth="8.140625" defaultRowHeight="12"/>
  <cols>
    <col min="1" max="1" width="3.85546875" style="6" customWidth="1"/>
    <col min="2" max="2" width="14.140625" style="6" customWidth="1"/>
    <col min="3" max="3" width="5.28515625" style="6" customWidth="1"/>
    <col min="4" max="4" width="8.42578125" style="6" customWidth="1"/>
    <col min="5" max="5" width="13.28515625" style="6" customWidth="1"/>
    <col min="6" max="6" width="5.7109375" style="6" customWidth="1"/>
    <col min="7" max="7" width="21.85546875" style="64" customWidth="1"/>
    <col min="8" max="8" width="5.28515625" style="6" customWidth="1"/>
    <col min="9" max="9" width="8.7109375" style="6" customWidth="1"/>
    <col min="10" max="10" width="8.42578125" style="6" customWidth="1"/>
    <col min="11" max="11" width="15.42578125" style="70" bestFit="1" customWidth="1"/>
    <col min="12" max="12" width="8.5703125" style="6" bestFit="1" customWidth="1"/>
    <col min="13" max="16384" width="8.140625" style="6"/>
  </cols>
  <sheetData>
    <row r="1" spans="1:10" ht="20.100000000000001" customHeight="1">
      <c r="A1" s="203">
        <v>45657</v>
      </c>
      <c r="B1" s="239">
        <v>41698</v>
      </c>
      <c r="C1" s="239">
        <v>41698</v>
      </c>
      <c r="D1" s="239"/>
      <c r="E1" s="239"/>
      <c r="F1" s="239"/>
      <c r="G1" s="239">
        <v>41698</v>
      </c>
      <c r="H1" s="239">
        <v>41698</v>
      </c>
      <c r="I1" s="239">
        <v>41698</v>
      </c>
      <c r="J1" s="239">
        <v>41698</v>
      </c>
    </row>
    <row r="2" spans="1:10" ht="20.100000000000001" customHeight="1">
      <c r="A2" s="30"/>
      <c r="B2" s="31"/>
      <c r="C2" s="31"/>
      <c r="D2" s="31"/>
      <c r="E2" s="31"/>
      <c r="F2" s="31"/>
      <c r="G2" s="32"/>
      <c r="H2" s="31"/>
      <c r="I2" s="32"/>
      <c r="J2" s="33"/>
    </row>
    <row r="3" spans="1:10" ht="18.75" customHeight="1">
      <c r="A3" s="7"/>
      <c r="B3" s="7"/>
      <c r="C3" s="7"/>
      <c r="D3" s="7"/>
      <c r="E3" s="7"/>
      <c r="F3" s="7"/>
      <c r="G3" s="62"/>
      <c r="H3" s="7"/>
      <c r="I3" s="7"/>
      <c r="J3" s="8"/>
    </row>
    <row r="4" spans="1:10" ht="15" customHeight="1">
      <c r="A4" s="6" t="s">
        <v>37</v>
      </c>
      <c r="G4" s="63"/>
      <c r="H4" s="204">
        <v>45679</v>
      </c>
      <c r="I4" s="204"/>
      <c r="J4" s="204"/>
    </row>
    <row r="5" spans="1:10" ht="15" customHeight="1">
      <c r="A5" s="9"/>
      <c r="B5" s="9"/>
      <c r="C5" s="9"/>
      <c r="D5" s="9"/>
      <c r="E5" s="9"/>
      <c r="F5" s="9"/>
    </row>
    <row r="6" spans="1:10" ht="20.100000000000001" customHeight="1">
      <c r="A6" s="6" t="s">
        <v>42</v>
      </c>
      <c r="G6" s="25"/>
      <c r="H6" s="26"/>
      <c r="I6" s="26"/>
      <c r="J6" s="26"/>
    </row>
    <row r="7" spans="1:10" ht="20.100000000000001" customHeight="1">
      <c r="B7" s="205" t="s">
        <v>38</v>
      </c>
      <c r="C7" s="205"/>
      <c r="D7" s="205"/>
      <c r="E7" s="205"/>
      <c r="F7" s="205"/>
      <c r="G7" s="206"/>
      <c r="H7" s="206"/>
      <c r="I7" s="206"/>
      <c r="J7" s="206"/>
    </row>
    <row r="8" spans="1:10" ht="12.95" customHeight="1"/>
    <row r="9" spans="1:10" ht="15" customHeight="1">
      <c r="A9" s="6">
        <v>1</v>
      </c>
      <c r="B9" s="6" t="s">
        <v>43</v>
      </c>
      <c r="C9" s="6" t="s">
        <v>247</v>
      </c>
      <c r="G9" s="65"/>
      <c r="H9" s="22"/>
      <c r="I9" s="23"/>
      <c r="J9" s="23"/>
    </row>
    <row r="10" spans="1:10" ht="12.95" customHeight="1"/>
    <row r="11" spans="1:10" ht="15" customHeight="1"/>
    <row r="12" spans="1:10" ht="15" customHeight="1" thickBot="1">
      <c r="A12" s="6">
        <v>2</v>
      </c>
      <c r="B12" s="6" t="s">
        <v>44</v>
      </c>
      <c r="J12" s="10" t="s">
        <v>45</v>
      </c>
    </row>
    <row r="13" spans="1:10" ht="42.6" customHeight="1" thickBot="1">
      <c r="B13" s="11" t="s">
        <v>39</v>
      </c>
      <c r="C13" s="12" t="s">
        <v>46</v>
      </c>
      <c r="D13" s="13" t="s">
        <v>47</v>
      </c>
      <c r="E13" s="21" t="s">
        <v>48</v>
      </c>
      <c r="F13" s="34" t="s">
        <v>49</v>
      </c>
      <c r="G13" s="16" t="s">
        <v>50</v>
      </c>
      <c r="H13" s="207" t="s">
        <v>51</v>
      </c>
      <c r="I13" s="208"/>
      <c r="J13" s="209"/>
    </row>
    <row r="14" spans="1:10" ht="13.5" customHeight="1">
      <c r="B14" s="210" t="s">
        <v>25</v>
      </c>
      <c r="C14" s="211" t="s">
        <v>52</v>
      </c>
      <c r="D14" s="28" t="s">
        <v>53</v>
      </c>
      <c r="E14" s="36"/>
      <c r="F14" s="213">
        <v>0</v>
      </c>
      <c r="G14" s="215" t="s">
        <v>224</v>
      </c>
      <c r="H14" s="197">
        <f>E14</f>
        <v>0</v>
      </c>
      <c r="I14" s="198"/>
      <c r="J14" s="199"/>
    </row>
    <row r="15" spans="1:10" ht="12.95" customHeight="1">
      <c r="B15" s="210"/>
      <c r="C15" s="212"/>
      <c r="D15" s="18" t="s">
        <v>54</v>
      </c>
      <c r="E15" s="37"/>
      <c r="F15" s="214"/>
      <c r="G15" s="216"/>
      <c r="H15" s="200"/>
      <c r="I15" s="201"/>
      <c r="J15" s="202"/>
    </row>
    <row r="16" spans="1:10" ht="13.5" customHeight="1">
      <c r="B16" s="217" t="s">
        <v>141</v>
      </c>
      <c r="C16" s="211" t="s">
        <v>143</v>
      </c>
      <c r="D16" s="17" t="s">
        <v>53</v>
      </c>
      <c r="E16" s="35"/>
      <c r="F16" s="20"/>
      <c r="G16" s="219" t="s">
        <v>243</v>
      </c>
      <c r="H16" s="197">
        <f t="shared" ref="H16" si="0">E16</f>
        <v>0</v>
      </c>
      <c r="I16" s="198"/>
      <c r="J16" s="199"/>
    </row>
    <row r="17" spans="2:10" ht="12.6" customHeight="1">
      <c r="B17" s="218"/>
      <c r="C17" s="212"/>
      <c r="D17" s="18" t="s">
        <v>54</v>
      </c>
      <c r="E17" s="17"/>
      <c r="F17" s="15">
        <v>0</v>
      </c>
      <c r="G17" s="219"/>
      <c r="H17" s="200"/>
      <c r="I17" s="201"/>
      <c r="J17" s="202"/>
    </row>
    <row r="18" spans="2:10" ht="13.5" customHeight="1">
      <c r="B18" s="217" t="s">
        <v>26</v>
      </c>
      <c r="C18" s="211" t="s">
        <v>55</v>
      </c>
      <c r="D18" s="17" t="s">
        <v>53</v>
      </c>
      <c r="E18" s="35"/>
      <c r="F18" s="20"/>
      <c r="G18" s="220" t="s">
        <v>225</v>
      </c>
      <c r="H18" s="197">
        <f t="shared" ref="H18" si="1">E18</f>
        <v>0</v>
      </c>
      <c r="I18" s="198"/>
      <c r="J18" s="199"/>
    </row>
    <row r="19" spans="2:10" ht="13.5" customHeight="1">
      <c r="B19" s="218"/>
      <c r="C19" s="212"/>
      <c r="D19" s="18" t="s">
        <v>54</v>
      </c>
      <c r="E19" s="17"/>
      <c r="F19" s="15">
        <v>0</v>
      </c>
      <c r="G19" s="220"/>
      <c r="H19" s="200"/>
      <c r="I19" s="201"/>
      <c r="J19" s="202"/>
    </row>
    <row r="20" spans="2:10" ht="13.5" customHeight="1">
      <c r="B20" s="217" t="s">
        <v>93</v>
      </c>
      <c r="C20" s="211" t="s">
        <v>55</v>
      </c>
      <c r="D20" s="17" t="s">
        <v>53</v>
      </c>
      <c r="E20" s="35"/>
      <c r="F20" s="14"/>
      <c r="G20" s="220" t="s">
        <v>226</v>
      </c>
      <c r="H20" s="197">
        <f t="shared" ref="H20" si="2">E20</f>
        <v>0</v>
      </c>
      <c r="I20" s="198"/>
      <c r="J20" s="199"/>
    </row>
    <row r="21" spans="2:10" ht="13.5" customHeight="1">
      <c r="B21" s="218"/>
      <c r="C21" s="212"/>
      <c r="D21" s="18" t="s">
        <v>54</v>
      </c>
      <c r="E21" s="17"/>
      <c r="F21" s="15">
        <v>0</v>
      </c>
      <c r="G21" s="220"/>
      <c r="H21" s="200"/>
      <c r="I21" s="201"/>
      <c r="J21" s="202"/>
    </row>
    <row r="22" spans="2:10" ht="13.5" hidden="1" customHeight="1">
      <c r="B22" s="217" t="s">
        <v>133</v>
      </c>
      <c r="C22" s="211" t="s">
        <v>142</v>
      </c>
      <c r="D22" s="17" t="s">
        <v>53</v>
      </c>
      <c r="E22" s="35"/>
      <c r="F22" s="19"/>
      <c r="G22" s="196" t="s">
        <v>248</v>
      </c>
      <c r="H22" s="197"/>
      <c r="I22" s="198"/>
      <c r="J22" s="199"/>
    </row>
    <row r="23" spans="2:10" ht="13.5" hidden="1" customHeight="1">
      <c r="B23" s="218"/>
      <c r="C23" s="212"/>
      <c r="D23" s="18" t="s">
        <v>54</v>
      </c>
      <c r="E23" s="17"/>
      <c r="F23" s="18">
        <v>0</v>
      </c>
      <c r="G23" s="196"/>
      <c r="H23" s="200"/>
      <c r="I23" s="201"/>
      <c r="J23" s="202"/>
    </row>
    <row r="24" spans="2:10" ht="13.5" customHeight="1">
      <c r="B24" s="217" t="s">
        <v>145</v>
      </c>
      <c r="C24" s="211" t="s">
        <v>144</v>
      </c>
      <c r="D24" s="17" t="s">
        <v>53</v>
      </c>
      <c r="E24" s="35"/>
      <c r="F24" s="24"/>
      <c r="G24" s="196" t="s">
        <v>244</v>
      </c>
      <c r="H24" s="197">
        <f t="shared" ref="H24" si="3">E24</f>
        <v>0</v>
      </c>
      <c r="I24" s="198"/>
      <c r="J24" s="199"/>
    </row>
    <row r="25" spans="2:10" ht="13.5" customHeight="1">
      <c r="B25" s="218"/>
      <c r="C25" s="212"/>
      <c r="D25" s="18" t="s">
        <v>54</v>
      </c>
      <c r="E25" s="17"/>
      <c r="F25" s="15">
        <v>0</v>
      </c>
      <c r="G25" s="196"/>
      <c r="H25" s="200"/>
      <c r="I25" s="201"/>
      <c r="J25" s="202"/>
    </row>
    <row r="26" spans="2:10" ht="13.5" customHeight="1">
      <c r="B26" s="217" t="s">
        <v>238</v>
      </c>
      <c r="C26" s="211" t="s">
        <v>144</v>
      </c>
      <c r="D26" s="17" t="s">
        <v>53</v>
      </c>
      <c r="E26" s="35"/>
      <c r="F26" s="24"/>
      <c r="G26" s="196" t="s">
        <v>249</v>
      </c>
      <c r="H26" s="197">
        <f t="shared" ref="H26" si="4">E26</f>
        <v>0</v>
      </c>
      <c r="I26" s="198"/>
      <c r="J26" s="199"/>
    </row>
    <row r="27" spans="2:10" ht="13.5" customHeight="1">
      <c r="B27" s="218"/>
      <c r="C27" s="212"/>
      <c r="D27" s="18" t="s">
        <v>54</v>
      </c>
      <c r="E27" s="17"/>
      <c r="F27" s="15">
        <v>0</v>
      </c>
      <c r="G27" s="196"/>
      <c r="H27" s="200"/>
      <c r="I27" s="201"/>
      <c r="J27" s="202"/>
    </row>
    <row r="28" spans="2:10" ht="13.5" customHeight="1">
      <c r="B28" s="217" t="s">
        <v>135</v>
      </c>
      <c r="C28" s="211" t="s">
        <v>134</v>
      </c>
      <c r="D28" s="17" t="s">
        <v>53</v>
      </c>
      <c r="E28" s="35"/>
      <c r="F28" s="24"/>
      <c r="G28" s="196" t="s">
        <v>245</v>
      </c>
      <c r="H28" s="197">
        <f t="shared" ref="H28" si="5">E28</f>
        <v>0</v>
      </c>
      <c r="I28" s="198"/>
      <c r="J28" s="199"/>
    </row>
    <row r="29" spans="2:10" ht="13.5" customHeight="1">
      <c r="B29" s="218"/>
      <c r="C29" s="212"/>
      <c r="D29" s="18" t="s">
        <v>54</v>
      </c>
      <c r="E29" s="17"/>
      <c r="F29" s="15">
        <v>0</v>
      </c>
      <c r="G29" s="196"/>
      <c r="H29" s="200"/>
      <c r="I29" s="201"/>
      <c r="J29" s="202"/>
    </row>
    <row r="30" spans="2:10" ht="13.5" customHeight="1">
      <c r="B30" s="217" t="s">
        <v>27</v>
      </c>
      <c r="C30" s="221" t="s">
        <v>10</v>
      </c>
      <c r="D30" s="17" t="s">
        <v>53</v>
      </c>
      <c r="E30" s="35"/>
      <c r="F30" s="24"/>
      <c r="G30" s="196" t="s">
        <v>227</v>
      </c>
      <c r="H30" s="197">
        <f t="shared" ref="H30" si="6">E30</f>
        <v>0</v>
      </c>
      <c r="I30" s="198"/>
      <c r="J30" s="199"/>
    </row>
    <row r="31" spans="2:10" ht="13.5" customHeight="1">
      <c r="B31" s="218"/>
      <c r="C31" s="222"/>
      <c r="D31" s="18" t="s">
        <v>54</v>
      </c>
      <c r="E31" s="17"/>
      <c r="F31" s="15">
        <v>0</v>
      </c>
      <c r="G31" s="196"/>
      <c r="H31" s="200"/>
      <c r="I31" s="201"/>
      <c r="J31" s="202"/>
    </row>
    <row r="32" spans="2:10" ht="13.5" customHeight="1">
      <c r="B32" s="217" t="s">
        <v>28</v>
      </c>
      <c r="C32" s="221" t="s">
        <v>10</v>
      </c>
      <c r="D32" s="17" t="s">
        <v>53</v>
      </c>
      <c r="E32" s="35"/>
      <c r="F32" s="24"/>
      <c r="G32" s="196" t="s">
        <v>229</v>
      </c>
      <c r="H32" s="197">
        <f t="shared" ref="H32" si="7">E32</f>
        <v>0</v>
      </c>
      <c r="I32" s="198"/>
      <c r="J32" s="199"/>
    </row>
    <row r="33" spans="2:10" ht="13.5" customHeight="1">
      <c r="B33" s="210"/>
      <c r="C33" s="222"/>
      <c r="D33" s="18" t="s">
        <v>54</v>
      </c>
      <c r="E33" s="17"/>
      <c r="F33" s="15">
        <v>0</v>
      </c>
      <c r="G33" s="196"/>
      <c r="H33" s="200"/>
      <c r="I33" s="201"/>
      <c r="J33" s="202"/>
    </row>
    <row r="34" spans="2:10" ht="13.5" customHeight="1">
      <c r="B34" s="217" t="s">
        <v>29</v>
      </c>
      <c r="C34" s="221" t="s">
        <v>10</v>
      </c>
      <c r="D34" s="17" t="s">
        <v>53</v>
      </c>
      <c r="E34" s="35"/>
      <c r="F34" s="24"/>
      <c r="G34" s="196" t="s">
        <v>230</v>
      </c>
      <c r="H34" s="197">
        <f t="shared" ref="H34" si="8">E34</f>
        <v>0</v>
      </c>
      <c r="I34" s="198"/>
      <c r="J34" s="199"/>
    </row>
    <row r="35" spans="2:10" ht="13.5" customHeight="1">
      <c r="B35" s="218"/>
      <c r="C35" s="222"/>
      <c r="D35" s="18" t="s">
        <v>54</v>
      </c>
      <c r="E35" s="17"/>
      <c r="F35" s="15">
        <v>0</v>
      </c>
      <c r="G35" s="196"/>
      <c r="H35" s="200"/>
      <c r="I35" s="201"/>
      <c r="J35" s="202"/>
    </row>
    <row r="36" spans="2:10" ht="13.5" customHeight="1">
      <c r="B36" s="217" t="s">
        <v>30</v>
      </c>
      <c r="C36" s="221" t="s">
        <v>10</v>
      </c>
      <c r="D36" s="17" t="s">
        <v>53</v>
      </c>
      <c r="E36" s="35"/>
      <c r="F36" s="24"/>
      <c r="G36" s="196" t="s">
        <v>231</v>
      </c>
      <c r="H36" s="197">
        <f t="shared" ref="H36" si="9">E36</f>
        <v>0</v>
      </c>
      <c r="I36" s="198"/>
      <c r="J36" s="199"/>
    </row>
    <row r="37" spans="2:10" ht="13.5" customHeight="1">
      <c r="B37" s="218"/>
      <c r="C37" s="222"/>
      <c r="D37" s="18" t="s">
        <v>54</v>
      </c>
      <c r="E37" s="17"/>
      <c r="F37" s="15">
        <v>0</v>
      </c>
      <c r="G37" s="196"/>
      <c r="H37" s="200"/>
      <c r="I37" s="201"/>
      <c r="J37" s="202"/>
    </row>
    <row r="38" spans="2:10" ht="13.5" customHeight="1">
      <c r="B38" s="217" t="s">
        <v>31</v>
      </c>
      <c r="C38" s="221" t="s">
        <v>10</v>
      </c>
      <c r="D38" s="17" t="s">
        <v>53</v>
      </c>
      <c r="E38" s="35"/>
      <c r="F38" s="24"/>
      <c r="G38" s="196" t="s">
        <v>232</v>
      </c>
      <c r="H38" s="197">
        <f t="shared" ref="H38" si="10">E38</f>
        <v>0</v>
      </c>
      <c r="I38" s="198"/>
      <c r="J38" s="199"/>
    </row>
    <row r="39" spans="2:10" ht="13.5" customHeight="1">
      <c r="B39" s="218"/>
      <c r="C39" s="222"/>
      <c r="D39" s="18" t="s">
        <v>54</v>
      </c>
      <c r="E39" s="17"/>
      <c r="F39" s="15">
        <v>0</v>
      </c>
      <c r="G39" s="196"/>
      <c r="H39" s="200"/>
      <c r="I39" s="201"/>
      <c r="J39" s="202"/>
    </row>
    <row r="40" spans="2:10" ht="13.5" customHeight="1">
      <c r="B40" s="217" t="s">
        <v>32</v>
      </c>
      <c r="C40" s="221" t="s">
        <v>10</v>
      </c>
      <c r="D40" s="17" t="s">
        <v>53</v>
      </c>
      <c r="E40" s="35"/>
      <c r="F40" s="194">
        <v>0</v>
      </c>
      <c r="G40" s="196" t="s">
        <v>227</v>
      </c>
      <c r="H40" s="197">
        <f t="shared" ref="H40" si="11">E40</f>
        <v>0</v>
      </c>
      <c r="I40" s="198"/>
      <c r="J40" s="199"/>
    </row>
    <row r="41" spans="2:10" ht="13.5" customHeight="1">
      <c r="B41" s="218"/>
      <c r="C41" s="222"/>
      <c r="D41" s="18" t="s">
        <v>54</v>
      </c>
      <c r="E41" s="17"/>
      <c r="F41" s="195"/>
      <c r="G41" s="196"/>
      <c r="H41" s="200"/>
      <c r="I41" s="201"/>
      <c r="J41" s="202"/>
    </row>
    <row r="42" spans="2:10" ht="13.5" customHeight="1">
      <c r="B42" s="217" t="s">
        <v>33</v>
      </c>
      <c r="C42" s="221" t="s">
        <v>10</v>
      </c>
      <c r="D42" s="17" t="s">
        <v>53</v>
      </c>
      <c r="E42" s="35"/>
      <c r="F42" s="24"/>
      <c r="G42" s="196" t="s">
        <v>233</v>
      </c>
      <c r="H42" s="197">
        <f t="shared" ref="H42" si="12">E42</f>
        <v>0</v>
      </c>
      <c r="I42" s="198"/>
      <c r="J42" s="199"/>
    </row>
    <row r="43" spans="2:10" ht="13.5" customHeight="1">
      <c r="B43" s="218"/>
      <c r="C43" s="222"/>
      <c r="D43" s="18" t="s">
        <v>54</v>
      </c>
      <c r="E43" s="17"/>
      <c r="F43" s="15">
        <v>0</v>
      </c>
      <c r="G43" s="196"/>
      <c r="H43" s="200"/>
      <c r="I43" s="201"/>
      <c r="J43" s="202"/>
    </row>
    <row r="44" spans="2:10" ht="13.5" customHeight="1">
      <c r="B44" s="217" t="s">
        <v>221</v>
      </c>
      <c r="C44" s="221" t="s">
        <v>10</v>
      </c>
      <c r="D44" s="17" t="s">
        <v>53</v>
      </c>
      <c r="E44" s="35"/>
      <c r="F44" s="194">
        <v>0</v>
      </c>
      <c r="G44" s="196" t="s">
        <v>227</v>
      </c>
      <c r="H44" s="197">
        <f>E44</f>
        <v>0</v>
      </c>
      <c r="I44" s="198"/>
      <c r="J44" s="199"/>
    </row>
    <row r="45" spans="2:10" ht="15.6" customHeight="1">
      <c r="B45" s="218"/>
      <c r="C45" s="222"/>
      <c r="D45" s="18" t="s">
        <v>54</v>
      </c>
      <c r="E45" s="17"/>
      <c r="F45" s="195"/>
      <c r="G45" s="196"/>
      <c r="H45" s="200"/>
      <c r="I45" s="201"/>
      <c r="J45" s="202"/>
    </row>
    <row r="46" spans="2:10" ht="13.5" customHeight="1">
      <c r="B46" s="217" t="s">
        <v>94</v>
      </c>
      <c r="C46" s="221" t="s">
        <v>95</v>
      </c>
      <c r="D46" s="17" t="s">
        <v>53</v>
      </c>
      <c r="E46" s="35"/>
      <c r="F46" s="194">
        <v>0</v>
      </c>
      <c r="G46" s="196" t="s">
        <v>234</v>
      </c>
      <c r="H46" s="197">
        <f t="shared" ref="H46" si="13">E46</f>
        <v>0</v>
      </c>
      <c r="I46" s="198"/>
      <c r="J46" s="199"/>
    </row>
    <row r="47" spans="2:10" ht="13.5" customHeight="1">
      <c r="B47" s="218"/>
      <c r="C47" s="222"/>
      <c r="D47" s="18" t="s">
        <v>54</v>
      </c>
      <c r="E47" s="17"/>
      <c r="F47" s="195"/>
      <c r="G47" s="196"/>
      <c r="H47" s="200"/>
      <c r="I47" s="201"/>
      <c r="J47" s="202"/>
    </row>
    <row r="48" spans="2:10" ht="13.5" customHeight="1">
      <c r="B48" s="217" t="s">
        <v>100</v>
      </c>
      <c r="C48" s="221" t="s">
        <v>95</v>
      </c>
      <c r="D48" s="17" t="s">
        <v>53</v>
      </c>
      <c r="E48" s="35"/>
      <c r="F48" s="24"/>
      <c r="G48" s="196" t="s">
        <v>227</v>
      </c>
      <c r="H48" s="197">
        <f t="shared" ref="H48" si="14">E48</f>
        <v>0</v>
      </c>
      <c r="I48" s="198"/>
      <c r="J48" s="199"/>
    </row>
    <row r="49" spans="2:10" ht="13.5" customHeight="1">
      <c r="B49" s="218"/>
      <c r="C49" s="222"/>
      <c r="D49" s="18" t="s">
        <v>54</v>
      </c>
      <c r="E49" s="17"/>
      <c r="F49" s="15">
        <v>0</v>
      </c>
      <c r="G49" s="196"/>
      <c r="H49" s="200"/>
      <c r="I49" s="201"/>
      <c r="J49" s="202"/>
    </row>
    <row r="50" spans="2:10" ht="13.5" customHeight="1">
      <c r="B50" s="217" t="s">
        <v>130</v>
      </c>
      <c r="C50" s="221" t="s">
        <v>95</v>
      </c>
      <c r="D50" s="17" t="s">
        <v>53</v>
      </c>
      <c r="E50" s="35"/>
      <c r="F50" s="24"/>
      <c r="G50" s="196" t="s">
        <v>234</v>
      </c>
      <c r="H50" s="197">
        <f t="shared" ref="H50" si="15">E50</f>
        <v>0</v>
      </c>
      <c r="I50" s="198"/>
      <c r="J50" s="199"/>
    </row>
    <row r="51" spans="2:10" ht="13.5" customHeight="1">
      <c r="B51" s="218"/>
      <c r="C51" s="222"/>
      <c r="D51" s="18" t="s">
        <v>54</v>
      </c>
      <c r="E51" s="17"/>
      <c r="F51" s="15">
        <v>0</v>
      </c>
      <c r="G51" s="196"/>
      <c r="H51" s="200"/>
      <c r="I51" s="201"/>
      <c r="J51" s="202"/>
    </row>
    <row r="52" spans="2:10" ht="13.5" customHeight="1">
      <c r="B52" s="217" t="s">
        <v>218</v>
      </c>
      <c r="C52" s="221" t="s">
        <v>95</v>
      </c>
      <c r="D52" s="17" t="s">
        <v>53</v>
      </c>
      <c r="E52" s="35"/>
      <c r="F52" s="194">
        <v>0</v>
      </c>
      <c r="G52" s="196" t="s">
        <v>234</v>
      </c>
      <c r="H52" s="197">
        <f>E52</f>
        <v>0</v>
      </c>
      <c r="I52" s="198"/>
      <c r="J52" s="199"/>
    </row>
    <row r="53" spans="2:10" ht="15.6" customHeight="1">
      <c r="B53" s="218"/>
      <c r="C53" s="222"/>
      <c r="D53" s="18" t="s">
        <v>54</v>
      </c>
      <c r="E53" s="17"/>
      <c r="F53" s="195"/>
      <c r="G53" s="196"/>
      <c r="H53" s="200"/>
      <c r="I53" s="201"/>
      <c r="J53" s="202"/>
    </row>
    <row r="54" spans="2:10" ht="13.5" customHeight="1">
      <c r="B54" s="217" t="s">
        <v>220</v>
      </c>
      <c r="C54" s="221" t="s">
        <v>95</v>
      </c>
      <c r="D54" s="17" t="s">
        <v>53</v>
      </c>
      <c r="E54" s="35"/>
      <c r="F54" s="194">
        <v>0</v>
      </c>
      <c r="G54" s="196" t="s">
        <v>234</v>
      </c>
      <c r="H54" s="197">
        <f>E54</f>
        <v>0</v>
      </c>
      <c r="I54" s="198"/>
      <c r="J54" s="199"/>
    </row>
    <row r="55" spans="2:10" ht="15.6" customHeight="1">
      <c r="B55" s="218"/>
      <c r="C55" s="222"/>
      <c r="D55" s="18" t="s">
        <v>54</v>
      </c>
      <c r="E55" s="17"/>
      <c r="F55" s="195"/>
      <c r="G55" s="196"/>
      <c r="H55" s="200"/>
      <c r="I55" s="201"/>
      <c r="J55" s="202"/>
    </row>
    <row r="56" spans="2:10" ht="13.5" customHeight="1">
      <c r="B56" s="217" t="s">
        <v>222</v>
      </c>
      <c r="C56" s="221" t="s">
        <v>95</v>
      </c>
      <c r="D56" s="17" t="s">
        <v>53</v>
      </c>
      <c r="E56" s="35"/>
      <c r="F56" s="194">
        <v>0</v>
      </c>
      <c r="G56" s="196" t="s">
        <v>230</v>
      </c>
      <c r="H56" s="197">
        <f>E56</f>
        <v>0</v>
      </c>
      <c r="I56" s="198"/>
      <c r="J56" s="199"/>
    </row>
    <row r="57" spans="2:10" ht="15.6" customHeight="1">
      <c r="B57" s="218"/>
      <c r="C57" s="222"/>
      <c r="D57" s="18" t="s">
        <v>54</v>
      </c>
      <c r="E57" s="17"/>
      <c r="F57" s="195"/>
      <c r="G57" s="196"/>
      <c r="H57" s="200"/>
      <c r="I57" s="201"/>
      <c r="J57" s="202"/>
    </row>
    <row r="58" spans="2:10" ht="13.5" customHeight="1">
      <c r="B58" s="217" t="s">
        <v>146</v>
      </c>
      <c r="C58" s="221" t="s">
        <v>136</v>
      </c>
      <c r="D58" s="17" t="s">
        <v>53</v>
      </c>
      <c r="E58" s="35"/>
      <c r="F58" s="194">
        <v>0</v>
      </c>
      <c r="G58" s="196" t="s">
        <v>246</v>
      </c>
      <c r="H58" s="197">
        <f t="shared" ref="H58" si="16">E58</f>
        <v>0</v>
      </c>
      <c r="I58" s="198"/>
      <c r="J58" s="199"/>
    </row>
    <row r="59" spans="2:10" ht="13.5" customHeight="1">
      <c r="B59" s="218"/>
      <c r="C59" s="222"/>
      <c r="D59" s="18" t="s">
        <v>54</v>
      </c>
      <c r="E59" s="17"/>
      <c r="F59" s="195"/>
      <c r="G59" s="196"/>
      <c r="H59" s="200"/>
      <c r="I59" s="201"/>
      <c r="J59" s="202"/>
    </row>
    <row r="60" spans="2:10" ht="13.5" customHeight="1">
      <c r="B60" s="217" t="s">
        <v>219</v>
      </c>
      <c r="C60" s="221" t="s">
        <v>86</v>
      </c>
      <c r="D60" s="17" t="s">
        <v>53</v>
      </c>
      <c r="E60" s="35"/>
      <c r="F60" s="24"/>
      <c r="G60" s="196" t="s">
        <v>235</v>
      </c>
      <c r="H60" s="197">
        <f>E60</f>
        <v>0</v>
      </c>
      <c r="I60" s="198"/>
      <c r="J60" s="199"/>
    </row>
    <row r="61" spans="2:10" ht="13.5" customHeight="1">
      <c r="B61" s="218"/>
      <c r="C61" s="222"/>
      <c r="D61" s="18" t="s">
        <v>54</v>
      </c>
      <c r="E61" s="17"/>
      <c r="F61" s="15">
        <v>0</v>
      </c>
      <c r="G61" s="196"/>
      <c r="H61" s="200"/>
      <c r="I61" s="201"/>
      <c r="J61" s="202"/>
    </row>
    <row r="62" spans="2:10" ht="13.5" customHeight="1">
      <c r="B62" s="217" t="s">
        <v>223</v>
      </c>
      <c r="C62" s="221" t="s">
        <v>86</v>
      </c>
      <c r="D62" s="17" t="s">
        <v>53</v>
      </c>
      <c r="E62" s="35"/>
      <c r="F62" s="194">
        <v>0</v>
      </c>
      <c r="G62" s="196" t="s">
        <v>237</v>
      </c>
      <c r="H62" s="197">
        <f t="shared" ref="H62" si="17">E62</f>
        <v>0</v>
      </c>
      <c r="I62" s="198"/>
      <c r="J62" s="199"/>
    </row>
    <row r="63" spans="2:10" ht="15.95" customHeight="1">
      <c r="B63" s="218"/>
      <c r="C63" s="222"/>
      <c r="D63" s="18" t="s">
        <v>54</v>
      </c>
      <c r="E63" s="17"/>
      <c r="F63" s="195"/>
      <c r="G63" s="196"/>
      <c r="H63" s="200"/>
      <c r="I63" s="201"/>
      <c r="J63" s="202"/>
    </row>
    <row r="64" spans="2:10" ht="13.5" customHeight="1">
      <c r="B64" s="217" t="s">
        <v>129</v>
      </c>
      <c r="C64" s="221" t="s">
        <v>86</v>
      </c>
      <c r="D64" s="17" t="s">
        <v>53</v>
      </c>
      <c r="E64" s="35"/>
      <c r="F64" s="194">
        <v>0</v>
      </c>
      <c r="G64" s="196" t="s">
        <v>236</v>
      </c>
      <c r="H64" s="197">
        <f t="shared" ref="H64" si="18">E64</f>
        <v>0</v>
      </c>
      <c r="I64" s="198"/>
      <c r="J64" s="199"/>
    </row>
    <row r="65" spans="2:10" ht="13.5" customHeight="1">
      <c r="B65" s="218"/>
      <c r="C65" s="222"/>
      <c r="D65" s="18" t="s">
        <v>54</v>
      </c>
      <c r="E65" s="17"/>
      <c r="F65" s="195"/>
      <c r="G65" s="196"/>
      <c r="H65" s="200"/>
      <c r="I65" s="201"/>
      <c r="J65" s="202"/>
    </row>
    <row r="66" spans="2:10" ht="18.75" customHeight="1" thickBot="1">
      <c r="B66" s="226" t="s">
        <v>56</v>
      </c>
      <c r="C66" s="227"/>
      <c r="D66" s="227"/>
      <c r="E66" s="227"/>
      <c r="F66" s="227"/>
      <c r="G66" s="228"/>
      <c r="H66" s="229">
        <f>SUM(H14:J64)</f>
        <v>0</v>
      </c>
      <c r="I66" s="230"/>
      <c r="J66" s="231"/>
    </row>
    <row r="67" spans="2:10" ht="18.75" customHeight="1" thickBot="1">
      <c r="B67" s="207" t="s">
        <v>57</v>
      </c>
      <c r="C67" s="232"/>
      <c r="D67" s="232"/>
      <c r="E67" s="232"/>
      <c r="F67" s="232"/>
      <c r="G67" s="208"/>
      <c r="H67" s="229">
        <v>0</v>
      </c>
      <c r="I67" s="233"/>
      <c r="J67" s="234"/>
    </row>
    <row r="68" spans="2:10" ht="18.75" customHeight="1" thickBot="1">
      <c r="B68" s="207" t="s">
        <v>58</v>
      </c>
      <c r="C68" s="232"/>
      <c r="D68" s="232"/>
      <c r="E68" s="232"/>
      <c r="F68" s="232"/>
      <c r="G68" s="235"/>
      <c r="H68" s="236">
        <f>H66</f>
        <v>0</v>
      </c>
      <c r="I68" s="237"/>
      <c r="J68" s="238"/>
    </row>
    <row r="69" spans="2:10" ht="13.5">
      <c r="B69" s="38"/>
      <c r="C69" s="38"/>
      <c r="D69" s="38"/>
      <c r="E69" s="38"/>
      <c r="F69" s="38"/>
      <c r="G69" s="66"/>
      <c r="H69" s="27"/>
      <c r="I69" s="27"/>
      <c r="J69" s="27"/>
    </row>
    <row r="70" spans="2:10" ht="15" customHeight="1">
      <c r="G70" s="64" t="s">
        <v>270</v>
      </c>
    </row>
    <row r="71" spans="2:10" ht="58.15" customHeight="1">
      <c r="G71" s="223"/>
      <c r="H71" s="223"/>
      <c r="I71" s="223"/>
    </row>
    <row r="72" spans="2:10">
      <c r="B72" s="147"/>
      <c r="G72" s="224" t="s">
        <v>40</v>
      </c>
      <c r="H72" s="224"/>
      <c r="I72" s="224"/>
    </row>
    <row r="73" spans="2:10">
      <c r="G73" s="225" t="s">
        <v>41</v>
      </c>
      <c r="H73" s="225"/>
      <c r="I73" s="225"/>
    </row>
    <row r="74" spans="2:10" ht="36.6" customHeight="1"/>
  </sheetData>
  <sheetProtection formatCells="0" formatColumns="0" formatRows="0" insertColumns="0" insertRows="0"/>
  <mergeCells count="127">
    <mergeCell ref="B26:B27"/>
    <mergeCell ref="C26:C27"/>
    <mergeCell ref="G26:G27"/>
    <mergeCell ref="H26:J27"/>
    <mergeCell ref="F58:F59"/>
    <mergeCell ref="G58:G59"/>
    <mergeCell ref="H58:J59"/>
    <mergeCell ref="B60:B61"/>
    <mergeCell ref="C60:C61"/>
    <mergeCell ref="G60:G61"/>
    <mergeCell ref="H60:J61"/>
    <mergeCell ref="B40:B41"/>
    <mergeCell ref="C40:C41"/>
    <mergeCell ref="F40:F41"/>
    <mergeCell ref="G40:G41"/>
    <mergeCell ref="H40:J41"/>
    <mergeCell ref="B48:B49"/>
    <mergeCell ref="C48:C49"/>
    <mergeCell ref="G48:G49"/>
    <mergeCell ref="H48:J49"/>
    <mergeCell ref="B50:B51"/>
    <mergeCell ref="C50:C51"/>
    <mergeCell ref="G50:G51"/>
    <mergeCell ref="H50:J51"/>
    <mergeCell ref="B64:B65"/>
    <mergeCell ref="C64:C65"/>
    <mergeCell ref="F64:F65"/>
    <mergeCell ref="G64:G65"/>
    <mergeCell ref="H64:J65"/>
    <mergeCell ref="B62:B63"/>
    <mergeCell ref="C62:C63"/>
    <mergeCell ref="F62:F63"/>
    <mergeCell ref="G62:G63"/>
    <mergeCell ref="H62:J63"/>
    <mergeCell ref="G71:I71"/>
    <mergeCell ref="G72:I72"/>
    <mergeCell ref="G73:I73"/>
    <mergeCell ref="B66:G66"/>
    <mergeCell ref="H66:J66"/>
    <mergeCell ref="B67:G67"/>
    <mergeCell ref="H67:J67"/>
    <mergeCell ref="B68:G68"/>
    <mergeCell ref="H68:J68"/>
    <mergeCell ref="B58:B59"/>
    <mergeCell ref="C58:C59"/>
    <mergeCell ref="B18:B19"/>
    <mergeCell ref="C18:C19"/>
    <mergeCell ref="G18:G19"/>
    <mergeCell ref="H18:J19"/>
    <mergeCell ref="B16:B17"/>
    <mergeCell ref="C16:C17"/>
    <mergeCell ref="G16:G17"/>
    <mergeCell ref="H16:J17"/>
    <mergeCell ref="B24:B25"/>
    <mergeCell ref="C24:C25"/>
    <mergeCell ref="G24:G25"/>
    <mergeCell ref="H24:J25"/>
    <mergeCell ref="B22:B23"/>
    <mergeCell ref="C22:C23"/>
    <mergeCell ref="G22:G23"/>
    <mergeCell ref="H22:J23"/>
    <mergeCell ref="B20:B21"/>
    <mergeCell ref="C20:C21"/>
    <mergeCell ref="G20:G21"/>
    <mergeCell ref="H20:J21"/>
    <mergeCell ref="B32:B33"/>
    <mergeCell ref="C32:C33"/>
    <mergeCell ref="A1:J1"/>
    <mergeCell ref="H4:J4"/>
    <mergeCell ref="B7:J7"/>
    <mergeCell ref="H13:J13"/>
    <mergeCell ref="B14:B15"/>
    <mergeCell ref="C14:C15"/>
    <mergeCell ref="F14:F15"/>
    <mergeCell ref="G14:G15"/>
    <mergeCell ref="H14:J15"/>
    <mergeCell ref="G32:G33"/>
    <mergeCell ref="H32:J33"/>
    <mergeCell ref="B30:B31"/>
    <mergeCell ref="C30:C31"/>
    <mergeCell ref="G30:G31"/>
    <mergeCell ref="H30:J31"/>
    <mergeCell ref="B28:B29"/>
    <mergeCell ref="C28:C29"/>
    <mergeCell ref="G28:G29"/>
    <mergeCell ref="H28:J29"/>
    <mergeCell ref="B38:B39"/>
    <mergeCell ref="C38:C39"/>
    <mergeCell ref="G38:G39"/>
    <mergeCell ref="H38:J39"/>
    <mergeCell ref="H34:J35"/>
    <mergeCell ref="B34:B35"/>
    <mergeCell ref="C34:C35"/>
    <mergeCell ref="G34:G35"/>
    <mergeCell ref="B36:B37"/>
    <mergeCell ref="C36:C37"/>
    <mergeCell ref="G36:G37"/>
    <mergeCell ref="H36:J37"/>
    <mergeCell ref="B52:B53"/>
    <mergeCell ref="C52:C53"/>
    <mergeCell ref="F52:F53"/>
    <mergeCell ref="G52:G53"/>
    <mergeCell ref="H52:J53"/>
    <mergeCell ref="B42:B43"/>
    <mergeCell ref="C42:C43"/>
    <mergeCell ref="G42:G43"/>
    <mergeCell ref="H42:J43"/>
    <mergeCell ref="B46:B47"/>
    <mergeCell ref="C46:C47"/>
    <mergeCell ref="F46:F47"/>
    <mergeCell ref="G46:G47"/>
    <mergeCell ref="H46:J47"/>
    <mergeCell ref="B44:B45"/>
    <mergeCell ref="C44:C45"/>
    <mergeCell ref="F44:F45"/>
    <mergeCell ref="G44:G45"/>
    <mergeCell ref="H44:J45"/>
    <mergeCell ref="B56:B57"/>
    <mergeCell ref="C56:C57"/>
    <mergeCell ref="F56:F57"/>
    <mergeCell ref="G56:G57"/>
    <mergeCell ref="H56:J57"/>
    <mergeCell ref="B54:B55"/>
    <mergeCell ref="C54:C55"/>
    <mergeCell ref="F54:F55"/>
    <mergeCell ref="G54:G55"/>
    <mergeCell ref="H54:J55"/>
  </mergeCells>
  <phoneticPr fontId="3"/>
  <dataValidations count="1">
    <dataValidation type="whole" allowBlank="1" showInputMessage="1" showErrorMessage="1" errorTitle="1円未満切捨" error="整数(半角）" sqref="H67:J67" xr:uid="{D34776F0-35D5-409A-A7F0-A4AEFBFAB1DF}">
      <formula1>0</formula1>
      <formula2>999999999</formula2>
    </dataValidation>
  </dataValidations>
  <pageMargins left="0.70866141732283472" right="0.70866141732283472" top="0.74803149606299213" bottom="0.74803149606299213" header="0.31496062992125984" footer="0.31496062992125984"/>
  <pageSetup paperSize="9" scale="6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A1:N36"/>
  <sheetViews>
    <sheetView topLeftCell="A4" zoomScale="90" zoomScaleNormal="90" workbookViewId="0">
      <selection activeCell="F25" sqref="F25:J25"/>
    </sheetView>
  </sheetViews>
  <sheetFormatPr defaultColWidth="8.140625" defaultRowHeight="14.25"/>
  <cols>
    <col min="1" max="1" width="5.5703125" style="40" customWidth="1"/>
    <col min="2" max="4" width="8.140625" style="40"/>
    <col min="5" max="5" width="19.7109375" style="40" customWidth="1"/>
    <col min="6" max="6" width="8.28515625" style="40" customWidth="1"/>
    <col min="7" max="7" width="3.140625" style="40" customWidth="1"/>
    <col min="8" max="8" width="5.7109375" style="40" customWidth="1"/>
    <col min="9" max="9" width="8.140625" style="40"/>
    <col min="10" max="10" width="13.5703125" style="40" customWidth="1"/>
    <col min="11" max="13" width="8.140625" style="40"/>
    <col min="14" max="14" width="18.5703125" style="40" customWidth="1"/>
    <col min="15" max="16384" width="8.140625" style="40"/>
  </cols>
  <sheetData>
    <row r="1" spans="1:10" ht="15">
      <c r="A1" s="266" t="s">
        <v>59</v>
      </c>
      <c r="B1" s="266"/>
      <c r="C1" s="266"/>
      <c r="D1" s="266"/>
      <c r="E1" s="266"/>
      <c r="F1" s="267"/>
      <c r="G1" s="267"/>
      <c r="H1" s="267"/>
      <c r="I1" s="267"/>
      <c r="J1" s="39"/>
    </row>
    <row r="2" spans="1:10" ht="30" customHeight="1">
      <c r="A2" s="254" t="s">
        <v>60</v>
      </c>
      <c r="B2" s="254"/>
      <c r="C2" s="254"/>
      <c r="D2" s="254"/>
      <c r="E2" s="254"/>
      <c r="F2" s="41"/>
      <c r="G2" s="41"/>
      <c r="I2" s="42" t="s">
        <v>61</v>
      </c>
      <c r="J2" s="43"/>
    </row>
    <row r="3" spans="1:10">
      <c r="A3" s="40" t="s">
        <v>62</v>
      </c>
      <c r="E3" s="41"/>
      <c r="F3" s="41"/>
      <c r="G3" s="41"/>
      <c r="I3" s="42" t="s">
        <v>63</v>
      </c>
      <c r="J3" s="43">
        <v>45679</v>
      </c>
    </row>
    <row r="4" spans="1:10" ht="20.25" customHeight="1" thickBot="1">
      <c r="A4" s="44"/>
      <c r="B4" s="44"/>
      <c r="C4" s="44"/>
      <c r="D4" s="44"/>
      <c r="E4" s="44"/>
      <c r="F4" s="44"/>
      <c r="J4" s="44"/>
    </row>
    <row r="5" spans="1:10" ht="23.25" customHeight="1"/>
    <row r="6" spans="1:10" ht="12.75" customHeight="1"/>
    <row r="7" spans="1:10" ht="15">
      <c r="A7" s="45" t="s">
        <v>64</v>
      </c>
      <c r="B7" s="46"/>
      <c r="C7" s="46"/>
      <c r="D7" s="46"/>
      <c r="E7" s="47"/>
      <c r="F7" s="45" t="s">
        <v>65</v>
      </c>
      <c r="G7" s="46"/>
      <c r="H7" s="46"/>
      <c r="I7" s="46"/>
      <c r="J7" s="47"/>
    </row>
    <row r="8" spans="1:10" ht="25.5" customHeight="1">
      <c r="A8" s="48" t="s">
        <v>66</v>
      </c>
      <c r="B8" s="49"/>
      <c r="C8" s="49"/>
      <c r="D8" s="49"/>
      <c r="E8" s="50"/>
      <c r="F8" s="48" t="s">
        <v>67</v>
      </c>
      <c r="G8" s="256" t="s">
        <v>66</v>
      </c>
      <c r="H8" s="256"/>
      <c r="I8" s="256"/>
      <c r="J8" s="257"/>
    </row>
    <row r="9" spans="1:10" ht="33.75" customHeight="1">
      <c r="A9" s="268" t="s">
        <v>68</v>
      </c>
      <c r="B9" s="254"/>
      <c r="C9" s="254"/>
      <c r="D9" s="254"/>
      <c r="E9" s="255"/>
      <c r="F9" s="48" t="s">
        <v>69</v>
      </c>
      <c r="G9" s="254" t="s">
        <v>70</v>
      </c>
      <c r="H9" s="254"/>
      <c r="I9" s="254"/>
      <c r="J9" s="255"/>
    </row>
    <row r="10" spans="1:10" ht="48.75" customHeight="1">
      <c r="A10" s="51"/>
      <c r="E10" s="52"/>
      <c r="F10" s="48" t="s">
        <v>71</v>
      </c>
      <c r="G10" s="254" t="s">
        <v>72</v>
      </c>
      <c r="H10" s="254"/>
      <c r="I10" s="254"/>
      <c r="J10" s="255"/>
    </row>
    <row r="11" spans="1:10" ht="14.25" customHeight="1">
      <c r="A11" s="53"/>
      <c r="E11" s="54"/>
      <c r="F11" s="48" t="s">
        <v>73</v>
      </c>
      <c r="G11" s="256" t="s">
        <v>74</v>
      </c>
      <c r="H11" s="256"/>
      <c r="I11" s="256"/>
      <c r="J11" s="257"/>
    </row>
    <row r="12" spans="1:10">
      <c r="A12" s="53"/>
      <c r="E12" s="54"/>
      <c r="F12" s="53"/>
      <c r="J12" s="54"/>
    </row>
    <row r="13" spans="1:10">
      <c r="A13" s="55"/>
      <c r="B13" s="56"/>
      <c r="C13" s="56"/>
      <c r="D13" s="56"/>
      <c r="E13" s="57"/>
      <c r="F13" s="55"/>
      <c r="G13" s="56"/>
      <c r="H13" s="56"/>
      <c r="I13" s="56"/>
      <c r="J13" s="57"/>
    </row>
    <row r="15" spans="1:10" ht="15">
      <c r="A15" s="45" t="s">
        <v>75</v>
      </c>
      <c r="B15" s="46"/>
      <c r="C15" s="46"/>
      <c r="D15" s="46"/>
      <c r="E15" s="47"/>
      <c r="F15" s="45"/>
      <c r="G15" s="46"/>
      <c r="H15" s="46"/>
      <c r="I15" s="46"/>
      <c r="J15" s="47"/>
    </row>
    <row r="16" spans="1:10">
      <c r="A16" s="53" t="s">
        <v>76</v>
      </c>
      <c r="E16" s="54"/>
      <c r="F16" s="53"/>
      <c r="J16" s="54"/>
    </row>
    <row r="17" spans="1:14" ht="27" customHeight="1">
      <c r="A17" s="258" t="s">
        <v>77</v>
      </c>
      <c r="B17" s="256"/>
      <c r="C17" s="256"/>
      <c r="D17" s="256"/>
      <c r="E17" s="257"/>
      <c r="F17" s="53"/>
      <c r="G17" s="259"/>
      <c r="H17" s="259"/>
      <c r="I17" s="259"/>
      <c r="J17" s="260"/>
    </row>
    <row r="18" spans="1:14">
      <c r="A18" s="53" t="s">
        <v>78</v>
      </c>
      <c r="E18" s="52"/>
      <c r="F18" s="58"/>
      <c r="G18" s="254"/>
      <c r="H18" s="254"/>
      <c r="I18" s="254"/>
      <c r="J18" s="255"/>
    </row>
    <row r="19" spans="1:14">
      <c r="A19" s="53"/>
      <c r="C19" s="59"/>
      <c r="E19" s="54"/>
      <c r="F19" s="53"/>
      <c r="G19" s="261"/>
      <c r="H19" s="261"/>
      <c r="I19" s="261"/>
      <c r="J19" s="262"/>
    </row>
    <row r="20" spans="1:14">
      <c r="A20" s="53"/>
      <c r="C20" s="59"/>
      <c r="E20" s="54"/>
      <c r="F20" s="53"/>
      <c r="J20" s="54"/>
    </row>
    <row r="21" spans="1:14">
      <c r="A21" s="55"/>
      <c r="B21" s="60"/>
      <c r="C21" s="56"/>
      <c r="D21" s="56"/>
      <c r="E21" s="57"/>
      <c r="F21" s="55"/>
      <c r="G21" s="56"/>
      <c r="H21" s="56"/>
      <c r="I21" s="56"/>
      <c r="J21" s="57"/>
    </row>
    <row r="22" spans="1:14">
      <c r="B22" s="59"/>
    </row>
    <row r="23" spans="1:14" ht="15">
      <c r="A23" s="263" t="s">
        <v>79</v>
      </c>
      <c r="B23" s="264"/>
      <c r="C23" s="264"/>
      <c r="D23" s="264"/>
      <c r="E23" s="265"/>
      <c r="F23" s="264" t="s">
        <v>80</v>
      </c>
      <c r="G23" s="264"/>
      <c r="H23" s="264"/>
      <c r="I23" s="264"/>
      <c r="J23" s="265"/>
    </row>
    <row r="24" spans="1:14" ht="21.75" customHeight="1">
      <c r="A24" s="67">
        <v>1</v>
      </c>
      <c r="B24" s="241" t="s">
        <v>96</v>
      </c>
      <c r="C24" s="241"/>
      <c r="D24" s="241"/>
      <c r="E24" s="241"/>
      <c r="F24" s="249">
        <f>+'2.Sep_24 '!H58</f>
        <v>600000</v>
      </c>
      <c r="G24" s="249"/>
      <c r="H24" s="249"/>
      <c r="I24" s="249"/>
      <c r="J24" s="249"/>
    </row>
    <row r="25" spans="1:14" ht="21.75" customHeight="1">
      <c r="A25" s="68">
        <v>2</v>
      </c>
      <c r="B25" s="241" t="s">
        <v>97</v>
      </c>
      <c r="C25" s="241"/>
      <c r="D25" s="241"/>
      <c r="E25" s="241"/>
      <c r="F25" s="249">
        <f>+'2.Oct_24'!H60</f>
        <v>0</v>
      </c>
      <c r="G25" s="249"/>
      <c r="H25" s="249"/>
      <c r="I25" s="249"/>
      <c r="J25" s="249"/>
    </row>
    <row r="26" spans="1:14" ht="21.75" customHeight="1">
      <c r="A26" s="69">
        <v>3</v>
      </c>
      <c r="B26" s="241" t="s">
        <v>98</v>
      </c>
      <c r="C26" s="241"/>
      <c r="D26" s="241"/>
      <c r="E26" s="241"/>
      <c r="F26" s="249">
        <f>+'2.Nov_24'!H66</f>
        <v>0</v>
      </c>
      <c r="G26" s="249"/>
      <c r="H26" s="249"/>
      <c r="I26" s="249"/>
      <c r="J26" s="249"/>
    </row>
    <row r="27" spans="1:14" ht="21.75" customHeight="1">
      <c r="A27" s="69">
        <v>4</v>
      </c>
      <c r="B27" s="250" t="s">
        <v>99</v>
      </c>
      <c r="C27" s="251"/>
      <c r="D27" s="251"/>
      <c r="E27" s="252"/>
      <c r="F27" s="249">
        <f>+'2.Dec_24'!H68</f>
        <v>0</v>
      </c>
      <c r="G27" s="249"/>
      <c r="H27" s="249"/>
      <c r="I27" s="249"/>
      <c r="J27" s="249"/>
    </row>
    <row r="28" spans="1:14" ht="22.5" customHeight="1">
      <c r="A28" s="69"/>
      <c r="B28" s="241"/>
      <c r="C28" s="241"/>
      <c r="D28" s="241"/>
      <c r="E28" s="241"/>
      <c r="F28" s="242"/>
      <c r="G28" s="242"/>
      <c r="H28" s="242"/>
      <c r="I28" s="242"/>
      <c r="J28" s="242"/>
    </row>
    <row r="29" spans="1:14" ht="16.5" customHeight="1">
      <c r="A29" s="243" t="s">
        <v>81</v>
      </c>
      <c r="B29" s="244"/>
      <c r="C29" s="244"/>
      <c r="D29" s="244"/>
      <c r="E29" s="245"/>
      <c r="F29" s="246"/>
      <c r="G29" s="247"/>
      <c r="H29" s="247"/>
      <c r="I29" s="247"/>
      <c r="J29" s="248"/>
    </row>
    <row r="31" spans="1:14">
      <c r="G31" s="40" t="s">
        <v>82</v>
      </c>
    </row>
    <row r="32" spans="1:14" ht="15">
      <c r="A32" s="61"/>
      <c r="B32" s="61"/>
      <c r="C32" s="253"/>
      <c r="D32" s="253"/>
      <c r="F32" s="61"/>
      <c r="G32" s="40" t="s">
        <v>83</v>
      </c>
      <c r="H32" s="61"/>
      <c r="N32" s="71"/>
    </row>
    <row r="33" spans="3:8" ht="18.75" customHeight="1"/>
    <row r="34" spans="3:8" ht="27" customHeight="1"/>
    <row r="35" spans="3:8" ht="17.25" customHeight="1">
      <c r="C35" s="240"/>
      <c r="D35" s="240"/>
      <c r="H35" s="40" t="s">
        <v>84</v>
      </c>
    </row>
    <row r="36" spans="3:8" ht="9" customHeight="1"/>
  </sheetData>
  <mergeCells count="28">
    <mergeCell ref="A1:E1"/>
    <mergeCell ref="F1:I1"/>
    <mergeCell ref="A2:E2"/>
    <mergeCell ref="G8:J8"/>
    <mergeCell ref="A9:E9"/>
    <mergeCell ref="G9:J9"/>
    <mergeCell ref="B25:E25"/>
    <mergeCell ref="G10:J10"/>
    <mergeCell ref="G11:J11"/>
    <mergeCell ref="A17:E17"/>
    <mergeCell ref="G17:J17"/>
    <mergeCell ref="G18:J18"/>
    <mergeCell ref="G19:J19"/>
    <mergeCell ref="A23:E23"/>
    <mergeCell ref="F23:J23"/>
    <mergeCell ref="F24:J24"/>
    <mergeCell ref="F25:J25"/>
    <mergeCell ref="B24:E24"/>
    <mergeCell ref="B26:E26"/>
    <mergeCell ref="F26:J26"/>
    <mergeCell ref="B27:E27"/>
    <mergeCell ref="F27:J27"/>
    <mergeCell ref="C32:D32"/>
    <mergeCell ref="C35:D35"/>
    <mergeCell ref="B28:E28"/>
    <mergeCell ref="F28:J28"/>
    <mergeCell ref="A29:E29"/>
    <mergeCell ref="F29:J29"/>
  </mergeCells>
  <phoneticPr fontId="3"/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5609-285C-4D8E-B428-94E566CAA68E}">
  <dimension ref="A3:P66"/>
  <sheetViews>
    <sheetView tabSelected="1" topLeftCell="C1" zoomScale="80" zoomScaleNormal="80" workbookViewId="0">
      <selection activeCell="H8" sqref="H8"/>
    </sheetView>
  </sheetViews>
  <sheetFormatPr defaultRowHeight="15"/>
  <cols>
    <col min="2" max="2" width="31.7109375" customWidth="1"/>
    <col min="3" max="3" width="51" customWidth="1"/>
    <col min="4" max="5" width="11.42578125" customWidth="1"/>
    <col min="6" max="6" width="9.42578125" style="162" bestFit="1" customWidth="1"/>
    <col min="7" max="7" width="15.5703125" bestFit="1" customWidth="1"/>
    <col min="8" max="8" width="92.7109375" bestFit="1" customWidth="1"/>
    <col min="11" max="11" width="8.7109375" style="140"/>
    <col min="12" max="12" width="11.42578125" style="140" bestFit="1" customWidth="1"/>
    <col min="13" max="13" width="21.28515625" bestFit="1" customWidth="1"/>
    <col min="14" max="14" width="10.85546875" bestFit="1" customWidth="1"/>
    <col min="15" max="15" width="10.5703125" customWidth="1"/>
  </cols>
  <sheetData>
    <row r="3" spans="2:15" ht="15.75" thickBot="1"/>
    <row r="4" spans="2:15" ht="45">
      <c r="B4" s="290" t="s">
        <v>103</v>
      </c>
      <c r="C4" s="292" t="s">
        <v>125</v>
      </c>
      <c r="D4" s="282" t="s">
        <v>105</v>
      </c>
      <c r="E4" s="282"/>
      <c r="F4" s="283" t="s">
        <v>104</v>
      </c>
      <c r="G4" s="84" t="s">
        <v>156</v>
      </c>
      <c r="H4" s="271" t="s">
        <v>108</v>
      </c>
    </row>
    <row r="5" spans="2:15" ht="15.75" thickBot="1">
      <c r="B5" s="291"/>
      <c r="C5" s="293"/>
      <c r="D5" s="85" t="s">
        <v>106</v>
      </c>
      <c r="E5" s="88" t="s">
        <v>107</v>
      </c>
      <c r="F5" s="284"/>
      <c r="G5" s="83" t="s">
        <v>113</v>
      </c>
      <c r="H5" s="272"/>
    </row>
    <row r="6" spans="2:15" ht="15.75" thickTop="1">
      <c r="B6" s="73" t="s">
        <v>147</v>
      </c>
      <c r="C6" s="273" t="s">
        <v>160</v>
      </c>
      <c r="D6" s="86">
        <v>45536</v>
      </c>
      <c r="E6" s="89">
        <v>45657</v>
      </c>
      <c r="F6" s="163" t="s">
        <v>158</v>
      </c>
      <c r="G6" s="78">
        <f>500000*4*0.5</f>
        <v>1000000</v>
      </c>
      <c r="H6" s="74" t="s">
        <v>277</v>
      </c>
      <c r="I6" t="s">
        <v>215</v>
      </c>
    </row>
    <row r="7" spans="2:15" ht="15.75">
      <c r="B7" s="73"/>
      <c r="C7" s="274"/>
      <c r="D7" s="86"/>
      <c r="E7" s="89"/>
      <c r="F7" s="163" t="s">
        <v>157</v>
      </c>
      <c r="G7" s="145">
        <f>350000*5/21+350000+350000*12/21</f>
        <v>633333.33333333326</v>
      </c>
      <c r="H7" s="74" t="s">
        <v>278</v>
      </c>
      <c r="I7" t="s">
        <v>215</v>
      </c>
      <c r="K7" s="140">
        <v>300000</v>
      </c>
      <c r="L7" s="146">
        <f t="shared" ref="L7:L14" si="0">K7*4</f>
        <v>1200000</v>
      </c>
      <c r="M7" s="138" t="s">
        <v>187</v>
      </c>
      <c r="N7" s="72">
        <f>G49</f>
        <v>0</v>
      </c>
      <c r="O7" s="72">
        <f>L7-N7</f>
        <v>1200000</v>
      </c>
    </row>
    <row r="8" spans="2:15" ht="15.75">
      <c r="B8" s="73"/>
      <c r="C8" s="274"/>
      <c r="D8" s="86"/>
      <c r="E8" s="89"/>
      <c r="F8" s="163" t="s">
        <v>161</v>
      </c>
      <c r="G8" s="78"/>
      <c r="H8" s="74"/>
      <c r="I8" t="s">
        <v>215</v>
      </c>
      <c r="K8" s="140">
        <v>430000</v>
      </c>
      <c r="L8" s="146">
        <f t="shared" si="0"/>
        <v>1720000</v>
      </c>
      <c r="M8" s="139" t="s">
        <v>188</v>
      </c>
      <c r="N8" s="72">
        <f>G37</f>
        <v>0</v>
      </c>
      <c r="O8" s="72">
        <f t="shared" ref="O8:O32" si="1">L8-N8</f>
        <v>1720000</v>
      </c>
    </row>
    <row r="9" spans="2:15" ht="15.75">
      <c r="B9" s="73"/>
      <c r="C9" s="274"/>
      <c r="D9" s="86"/>
      <c r="E9" s="89"/>
      <c r="F9" s="163" t="s">
        <v>183</v>
      </c>
      <c r="G9" s="78"/>
      <c r="H9" s="74"/>
      <c r="I9" t="s">
        <v>215</v>
      </c>
      <c r="K9" s="140">
        <v>300000</v>
      </c>
      <c r="L9" s="146">
        <f t="shared" si="0"/>
        <v>1200000</v>
      </c>
      <c r="M9" s="139" t="s">
        <v>189</v>
      </c>
      <c r="N9" s="72">
        <f>G20+G29</f>
        <v>0</v>
      </c>
      <c r="O9" s="72">
        <f t="shared" si="1"/>
        <v>1200000</v>
      </c>
    </row>
    <row r="10" spans="2:15" ht="15.75">
      <c r="B10" s="73"/>
      <c r="C10" s="274"/>
      <c r="D10" s="86"/>
      <c r="E10" s="89"/>
      <c r="F10" s="164" t="s">
        <v>213</v>
      </c>
      <c r="G10" s="108"/>
      <c r="H10" s="74"/>
      <c r="I10" t="s">
        <v>215</v>
      </c>
      <c r="K10" s="140">
        <v>300000</v>
      </c>
      <c r="L10" s="146">
        <f t="shared" si="0"/>
        <v>1200000</v>
      </c>
      <c r="M10" s="139" t="s">
        <v>190</v>
      </c>
      <c r="N10" s="72">
        <f>G54</f>
        <v>0</v>
      </c>
      <c r="O10" s="72">
        <f t="shared" si="1"/>
        <v>1200000</v>
      </c>
    </row>
    <row r="11" spans="2:15" ht="15.75">
      <c r="B11" s="73"/>
      <c r="C11" s="275"/>
      <c r="D11" s="86"/>
      <c r="E11" s="89"/>
      <c r="F11" s="165" t="s">
        <v>153</v>
      </c>
      <c r="G11" s="79">
        <f>SUM(G6:G10)</f>
        <v>1633333.3333333333</v>
      </c>
      <c r="H11" s="74"/>
      <c r="K11" s="140">
        <v>300000</v>
      </c>
      <c r="L11" s="146">
        <f t="shared" si="0"/>
        <v>1200000</v>
      </c>
      <c r="M11" s="139" t="s">
        <v>191</v>
      </c>
      <c r="N11" s="72">
        <f>G28+G39</f>
        <v>0</v>
      </c>
      <c r="O11" s="72">
        <f t="shared" si="1"/>
        <v>1200000</v>
      </c>
    </row>
    <row r="12" spans="2:15" ht="15.75">
      <c r="B12" s="91" t="s">
        <v>159</v>
      </c>
      <c r="C12" s="281" t="s">
        <v>162</v>
      </c>
      <c r="D12" s="92">
        <v>45536</v>
      </c>
      <c r="E12" s="93">
        <v>45657</v>
      </c>
      <c r="F12" s="166" t="s">
        <v>158</v>
      </c>
      <c r="G12" s="94"/>
      <c r="H12" s="95"/>
      <c r="I12" t="s">
        <v>215</v>
      </c>
      <c r="K12" s="140">
        <v>300000</v>
      </c>
      <c r="L12" s="146">
        <f t="shared" si="0"/>
        <v>1200000</v>
      </c>
      <c r="M12" s="139" t="s">
        <v>192</v>
      </c>
      <c r="N12" s="72">
        <f>G31+G51</f>
        <v>0</v>
      </c>
      <c r="O12" s="72">
        <f t="shared" si="1"/>
        <v>1200000</v>
      </c>
    </row>
    <row r="13" spans="2:15" ht="15.75">
      <c r="B13" s="73"/>
      <c r="C13" s="274"/>
      <c r="D13" s="86"/>
      <c r="E13" s="89"/>
      <c r="F13" s="163" t="s">
        <v>111</v>
      </c>
      <c r="G13" s="78"/>
      <c r="H13" s="74"/>
      <c r="I13" t="s">
        <v>215</v>
      </c>
      <c r="K13" s="140">
        <v>300000</v>
      </c>
      <c r="L13" s="146">
        <f t="shared" si="0"/>
        <v>1200000</v>
      </c>
      <c r="M13" s="139" t="s">
        <v>193</v>
      </c>
      <c r="N13" s="72">
        <f>G52</f>
        <v>0</v>
      </c>
      <c r="O13" s="72">
        <f t="shared" si="1"/>
        <v>1200000</v>
      </c>
    </row>
    <row r="14" spans="2:15" ht="15.75">
      <c r="B14" s="73"/>
      <c r="C14" s="274"/>
      <c r="D14" s="86"/>
      <c r="E14" s="89"/>
      <c r="F14" s="163" t="s">
        <v>163</v>
      </c>
      <c r="G14" s="145"/>
      <c r="H14" s="74"/>
      <c r="I14" t="s">
        <v>215</v>
      </c>
      <c r="K14" s="140">
        <v>300000</v>
      </c>
      <c r="L14" s="146">
        <f t="shared" si="0"/>
        <v>1200000</v>
      </c>
      <c r="M14" s="139" t="s">
        <v>194</v>
      </c>
      <c r="N14" s="72">
        <f>G32</f>
        <v>0</v>
      </c>
      <c r="O14" s="72">
        <f t="shared" si="1"/>
        <v>1200000</v>
      </c>
    </row>
    <row r="15" spans="2:15" ht="15.75">
      <c r="B15" s="73"/>
      <c r="C15" s="274"/>
      <c r="D15" s="86"/>
      <c r="E15" s="89"/>
      <c r="F15" s="163" t="s">
        <v>213</v>
      </c>
      <c r="G15" s="78"/>
      <c r="H15" s="74"/>
      <c r="I15" t="s">
        <v>215</v>
      </c>
      <c r="K15" s="140">
        <v>300000</v>
      </c>
      <c r="M15" s="139" t="s">
        <v>194</v>
      </c>
      <c r="N15" s="72"/>
      <c r="O15" s="72">
        <f t="shared" ref="O15" si="2">L15-N15</f>
        <v>0</v>
      </c>
    </row>
    <row r="16" spans="2:15" ht="15.75">
      <c r="B16" s="73"/>
      <c r="C16" s="275"/>
      <c r="D16" s="86"/>
      <c r="E16" s="89"/>
      <c r="F16" s="165" t="s">
        <v>153</v>
      </c>
      <c r="G16" s="79">
        <f>SUM(G12:G15)</f>
        <v>0</v>
      </c>
      <c r="H16" s="74"/>
      <c r="K16" s="140">
        <v>250000</v>
      </c>
      <c r="L16" s="146">
        <f t="shared" ref="L16:L24" si="3">K16*4</f>
        <v>1000000</v>
      </c>
      <c r="M16" s="139" t="s">
        <v>195</v>
      </c>
      <c r="N16" s="72">
        <f>G42</f>
        <v>0</v>
      </c>
      <c r="O16" s="72">
        <f t="shared" si="1"/>
        <v>1000000</v>
      </c>
    </row>
    <row r="17" spans="1:15" ht="18" customHeight="1">
      <c r="B17" s="91" t="s">
        <v>148</v>
      </c>
      <c r="C17" s="281" t="s">
        <v>149</v>
      </c>
      <c r="D17" s="92">
        <v>45536</v>
      </c>
      <c r="E17" s="93">
        <v>45657</v>
      </c>
      <c r="F17" s="166" t="s">
        <v>150</v>
      </c>
      <c r="G17" s="94"/>
      <c r="H17" s="95"/>
      <c r="I17" t="s">
        <v>215</v>
      </c>
      <c r="K17" s="140">
        <v>430000</v>
      </c>
      <c r="L17" s="146">
        <f t="shared" si="3"/>
        <v>1720000</v>
      </c>
      <c r="M17" s="139" t="s">
        <v>196</v>
      </c>
      <c r="N17" s="72">
        <f>G17+G41</f>
        <v>0</v>
      </c>
      <c r="O17" s="72">
        <f t="shared" si="1"/>
        <v>1720000</v>
      </c>
    </row>
    <row r="18" spans="1:15" ht="15.75">
      <c r="B18" s="73"/>
      <c r="C18" s="274"/>
      <c r="D18" s="86"/>
      <c r="E18" s="89"/>
      <c r="F18" s="163" t="s">
        <v>151</v>
      </c>
      <c r="G18" s="78"/>
      <c r="H18" s="74"/>
      <c r="I18" t="s">
        <v>215</v>
      </c>
      <c r="K18" s="140">
        <v>250000</v>
      </c>
      <c r="L18" s="146">
        <f t="shared" si="3"/>
        <v>1000000</v>
      </c>
      <c r="M18" s="139" t="s">
        <v>197</v>
      </c>
      <c r="N18" s="72">
        <f>G33</f>
        <v>0</v>
      </c>
      <c r="O18" s="72">
        <f t="shared" si="1"/>
        <v>1000000</v>
      </c>
    </row>
    <row r="19" spans="1:15" ht="15.75">
      <c r="B19" s="73"/>
      <c r="C19" s="274"/>
      <c r="D19" s="86"/>
      <c r="E19" s="89"/>
      <c r="F19" s="163" t="s">
        <v>184</v>
      </c>
      <c r="G19" s="78"/>
      <c r="H19" s="74"/>
      <c r="I19" t="s">
        <v>215</v>
      </c>
      <c r="K19" s="140">
        <v>300000</v>
      </c>
      <c r="L19" s="146">
        <f t="shared" si="3"/>
        <v>1200000</v>
      </c>
      <c r="M19" s="139" t="s">
        <v>198</v>
      </c>
      <c r="N19" s="72">
        <f>G55+G36</f>
        <v>0</v>
      </c>
      <c r="O19" s="72">
        <f t="shared" si="1"/>
        <v>1200000</v>
      </c>
    </row>
    <row r="20" spans="1:15" ht="15.75">
      <c r="B20" s="73"/>
      <c r="C20" s="274"/>
      <c r="D20" s="86"/>
      <c r="E20" s="89"/>
      <c r="F20" s="163" t="s">
        <v>152</v>
      </c>
      <c r="G20" s="78"/>
      <c r="H20" s="74"/>
      <c r="I20" t="s">
        <v>215</v>
      </c>
      <c r="K20" s="140">
        <v>250000</v>
      </c>
      <c r="L20" s="146">
        <f t="shared" si="3"/>
        <v>1000000</v>
      </c>
      <c r="M20" s="139" t="s">
        <v>199</v>
      </c>
      <c r="N20" s="72">
        <f>G43</f>
        <v>0</v>
      </c>
      <c r="O20" s="72">
        <f t="shared" si="1"/>
        <v>1000000</v>
      </c>
    </row>
    <row r="21" spans="1:15" ht="15.75">
      <c r="B21" s="73"/>
      <c r="C21" s="275"/>
      <c r="D21" s="86"/>
      <c r="E21" s="89"/>
      <c r="F21" s="165" t="s">
        <v>153</v>
      </c>
      <c r="G21" s="79">
        <f>SUM(G17:G20)</f>
        <v>0</v>
      </c>
      <c r="H21" s="74"/>
      <c r="K21" s="140">
        <v>805000</v>
      </c>
      <c r="L21" s="146">
        <f t="shared" si="3"/>
        <v>3220000</v>
      </c>
      <c r="M21" s="139" t="s">
        <v>200</v>
      </c>
      <c r="N21" s="72">
        <f>G6+G12</f>
        <v>1000000</v>
      </c>
      <c r="O21" s="72">
        <f t="shared" si="1"/>
        <v>2220000</v>
      </c>
    </row>
    <row r="22" spans="1:15" ht="15.75">
      <c r="A22" s="131"/>
      <c r="B22" s="120" t="s">
        <v>154</v>
      </c>
      <c r="C22" s="279" t="s">
        <v>155</v>
      </c>
      <c r="D22" s="121">
        <v>45658</v>
      </c>
      <c r="E22" s="122">
        <v>45746</v>
      </c>
      <c r="F22" s="166" t="s">
        <v>150</v>
      </c>
      <c r="G22" s="130"/>
      <c r="H22" s="124"/>
      <c r="K22" s="140">
        <v>370000</v>
      </c>
      <c r="L22" s="146">
        <f t="shared" si="3"/>
        <v>1480000</v>
      </c>
      <c r="M22" s="139" t="s">
        <v>201</v>
      </c>
      <c r="N22" s="72">
        <f>G13</f>
        <v>0</v>
      </c>
      <c r="O22" s="72">
        <f t="shared" si="1"/>
        <v>1480000</v>
      </c>
    </row>
    <row r="23" spans="1:15" ht="15.75">
      <c r="A23" s="131"/>
      <c r="B23" s="132"/>
      <c r="C23" s="289"/>
      <c r="D23" s="133"/>
      <c r="E23" s="134"/>
      <c r="F23" s="163" t="s">
        <v>184</v>
      </c>
      <c r="G23" s="135"/>
      <c r="H23" s="136"/>
      <c r="K23" s="140">
        <v>310000</v>
      </c>
      <c r="L23" s="146">
        <f t="shared" si="3"/>
        <v>1240000</v>
      </c>
      <c r="M23" s="139" t="s">
        <v>202</v>
      </c>
      <c r="N23" s="72">
        <f>G14</f>
        <v>0</v>
      </c>
      <c r="O23" s="72">
        <f t="shared" si="1"/>
        <v>1240000</v>
      </c>
    </row>
    <row r="24" spans="1:15" ht="15.75">
      <c r="A24" s="131"/>
      <c r="B24" s="132"/>
      <c r="C24" s="289"/>
      <c r="D24" s="133"/>
      <c r="E24" s="134"/>
      <c r="F24" s="163" t="s">
        <v>152</v>
      </c>
      <c r="G24" s="135"/>
      <c r="H24" s="136"/>
      <c r="K24" s="140">
        <v>220000</v>
      </c>
      <c r="L24" s="146">
        <f t="shared" si="3"/>
        <v>880000</v>
      </c>
      <c r="M24" s="139" t="s">
        <v>203</v>
      </c>
      <c r="N24" s="72">
        <f>G8</f>
        <v>0</v>
      </c>
      <c r="O24" s="72">
        <f t="shared" si="1"/>
        <v>880000</v>
      </c>
    </row>
    <row r="25" spans="1:15" ht="15.75">
      <c r="A25" s="131"/>
      <c r="B25" s="132"/>
      <c r="C25" s="280"/>
      <c r="D25" s="133"/>
      <c r="E25" s="134"/>
      <c r="F25" s="163" t="s">
        <v>153</v>
      </c>
      <c r="G25" s="137">
        <f>SUM(G22:G24)</f>
        <v>0</v>
      </c>
      <c r="H25" s="136"/>
      <c r="I25" s="141"/>
      <c r="J25" s="141"/>
      <c r="K25" s="140">
        <v>250000</v>
      </c>
      <c r="L25" s="146">
        <f>K25*3+K25*9/22</f>
        <v>852272.72727272729</v>
      </c>
      <c r="M25" s="143" t="s">
        <v>204</v>
      </c>
      <c r="N25" s="72">
        <f>G44</f>
        <v>0</v>
      </c>
      <c r="O25" s="72">
        <f t="shared" si="1"/>
        <v>852272.72727272729</v>
      </c>
    </row>
    <row r="26" spans="1:15" ht="15.75">
      <c r="B26" s="120" t="s">
        <v>112</v>
      </c>
      <c r="C26" s="279" t="s">
        <v>185</v>
      </c>
      <c r="D26" s="121">
        <v>45474</v>
      </c>
      <c r="E26" s="122">
        <v>45626</v>
      </c>
      <c r="F26" s="166" t="s">
        <v>114</v>
      </c>
      <c r="G26" s="123"/>
      <c r="H26" s="124"/>
      <c r="K26" s="140">
        <v>470000</v>
      </c>
      <c r="L26" s="146">
        <f>470000*5/21+470000+470000*12/21</f>
        <v>850476.19047619053</v>
      </c>
      <c r="M26" s="139" t="s">
        <v>205</v>
      </c>
      <c r="N26" s="72">
        <f>G7</f>
        <v>633333.33333333326</v>
      </c>
      <c r="O26" s="72">
        <f t="shared" si="1"/>
        <v>217142.85714285728</v>
      </c>
    </row>
    <row r="27" spans="1:15" ht="15.75">
      <c r="B27" s="125"/>
      <c r="C27" s="280"/>
      <c r="D27" s="126"/>
      <c r="E27" s="127"/>
      <c r="F27" s="167"/>
      <c r="G27" s="128"/>
      <c r="H27" s="129"/>
      <c r="K27" s="140">
        <v>300000</v>
      </c>
      <c r="L27" s="146">
        <f>K27*2+K27*4/22</f>
        <v>654545.45454545459</v>
      </c>
      <c r="M27" s="139" t="s">
        <v>206</v>
      </c>
      <c r="N27" s="72">
        <f>G19+G46</f>
        <v>0</v>
      </c>
      <c r="O27" s="72">
        <f t="shared" si="1"/>
        <v>654545.45454545459</v>
      </c>
    </row>
    <row r="28" spans="1:15" ht="15.75">
      <c r="B28" s="286" t="s">
        <v>165</v>
      </c>
      <c r="C28" s="281" t="s">
        <v>164</v>
      </c>
      <c r="D28" s="86">
        <v>45505</v>
      </c>
      <c r="E28" s="89">
        <v>45596</v>
      </c>
      <c r="F28" s="163" t="s">
        <v>114</v>
      </c>
      <c r="G28" s="78"/>
      <c r="H28" s="74"/>
      <c r="I28" t="s">
        <v>215</v>
      </c>
      <c r="K28" s="140">
        <v>250000</v>
      </c>
      <c r="L28" s="146">
        <f>K28*2</f>
        <v>500000</v>
      </c>
      <c r="M28" s="139" t="s">
        <v>207</v>
      </c>
      <c r="N28" s="72">
        <f>G35</f>
        <v>0</v>
      </c>
      <c r="O28" s="72">
        <f t="shared" si="1"/>
        <v>500000</v>
      </c>
    </row>
    <row r="29" spans="1:15" ht="15.75">
      <c r="B29" s="287"/>
      <c r="C29" s="274"/>
      <c r="D29" s="86"/>
      <c r="E29" s="89"/>
      <c r="F29" s="163" t="s">
        <v>111</v>
      </c>
      <c r="G29" s="78"/>
      <c r="H29" s="74"/>
      <c r="I29" t="s">
        <v>215</v>
      </c>
      <c r="K29" s="140">
        <v>300000</v>
      </c>
      <c r="L29" s="146">
        <f>K29*2</f>
        <v>600000</v>
      </c>
      <c r="M29" s="139" t="s">
        <v>208</v>
      </c>
      <c r="N29" s="72">
        <f>G34</f>
        <v>0</v>
      </c>
      <c r="O29" s="72">
        <f t="shared" si="1"/>
        <v>600000</v>
      </c>
    </row>
    <row r="30" spans="1:15" ht="15.75">
      <c r="B30" s="288"/>
      <c r="C30" s="275"/>
      <c r="D30" s="86"/>
      <c r="E30" s="89"/>
      <c r="F30" s="165" t="s">
        <v>153</v>
      </c>
      <c r="G30" s="79"/>
      <c r="H30" s="74"/>
      <c r="K30" s="140">
        <v>250000</v>
      </c>
      <c r="L30" s="146">
        <f>K30*2</f>
        <v>500000</v>
      </c>
      <c r="M30" s="139" t="s">
        <v>209</v>
      </c>
      <c r="N30" s="72">
        <f>G56</f>
        <v>0</v>
      </c>
      <c r="O30" s="72">
        <f t="shared" si="1"/>
        <v>500000</v>
      </c>
    </row>
    <row r="31" spans="1:15" ht="15.75">
      <c r="B31" s="91" t="s">
        <v>116</v>
      </c>
      <c r="C31" s="281" t="s">
        <v>126</v>
      </c>
      <c r="D31" s="92">
        <v>45505</v>
      </c>
      <c r="E31" s="93">
        <v>45747</v>
      </c>
      <c r="F31" s="166" t="s">
        <v>119</v>
      </c>
      <c r="G31" s="94"/>
      <c r="H31" s="95"/>
      <c r="I31" t="s">
        <v>215</v>
      </c>
      <c r="K31" s="140">
        <v>300000</v>
      </c>
      <c r="L31" s="140">
        <f>K31*2</f>
        <v>600000</v>
      </c>
      <c r="M31" s="139" t="s">
        <v>210</v>
      </c>
      <c r="N31" s="72">
        <f>G10+G15</f>
        <v>0</v>
      </c>
      <c r="O31" s="72">
        <f t="shared" si="1"/>
        <v>600000</v>
      </c>
    </row>
    <row r="32" spans="1:15">
      <c r="B32" s="73"/>
      <c r="C32" s="274"/>
      <c r="D32" s="86"/>
      <c r="E32" s="89"/>
      <c r="F32" s="163" t="s">
        <v>120</v>
      </c>
      <c r="G32" s="78"/>
      <c r="H32" s="74"/>
      <c r="I32" t="s">
        <v>215</v>
      </c>
      <c r="K32" s="140" t="s">
        <v>214</v>
      </c>
      <c r="L32" s="140">
        <f>SUM(L7:L31)</f>
        <v>27417294.37229437</v>
      </c>
      <c r="N32" s="140">
        <f>SUM(N7:N31)</f>
        <v>1633333.3333333333</v>
      </c>
      <c r="O32" s="72">
        <f t="shared" si="1"/>
        <v>25783961.038961038</v>
      </c>
    </row>
    <row r="33" spans="2:16" ht="15.75">
      <c r="B33" s="73"/>
      <c r="C33" s="274"/>
      <c r="D33" s="86"/>
      <c r="E33" s="89"/>
      <c r="F33" s="163" t="s">
        <v>121</v>
      </c>
      <c r="G33" s="78"/>
      <c r="H33" s="74"/>
      <c r="I33" t="s">
        <v>215</v>
      </c>
      <c r="L33" s="146">
        <v>2400000</v>
      </c>
      <c r="M33" s="142" t="s">
        <v>178</v>
      </c>
      <c r="N33" s="140">
        <v>2400000</v>
      </c>
    </row>
    <row r="34" spans="2:16">
      <c r="B34" s="73"/>
      <c r="C34" s="274"/>
      <c r="D34" s="86"/>
      <c r="E34" s="89"/>
      <c r="F34" s="163" t="s">
        <v>166</v>
      </c>
      <c r="G34" s="78"/>
      <c r="H34" s="74"/>
      <c r="I34" t="s">
        <v>215</v>
      </c>
      <c r="K34" s="140" t="s">
        <v>172</v>
      </c>
      <c r="L34" s="140">
        <f>L32+L33</f>
        <v>29817294.37229437</v>
      </c>
      <c r="N34" s="140">
        <f>N32+N33</f>
        <v>4033333.333333333</v>
      </c>
    </row>
    <row r="35" spans="2:16">
      <c r="B35" s="73"/>
      <c r="C35" s="274"/>
      <c r="D35" s="86"/>
      <c r="E35" s="89"/>
      <c r="F35" s="163" t="s">
        <v>167</v>
      </c>
      <c r="G35" s="78"/>
      <c r="H35" s="74"/>
      <c r="I35" t="s">
        <v>215</v>
      </c>
    </row>
    <row r="36" spans="2:16">
      <c r="B36" s="73"/>
      <c r="C36" s="274"/>
      <c r="D36" s="86"/>
      <c r="E36" s="89"/>
      <c r="F36" s="164" t="s">
        <v>171</v>
      </c>
      <c r="G36" s="108"/>
      <c r="H36" s="74"/>
      <c r="I36" t="s">
        <v>215</v>
      </c>
      <c r="K36" s="140">
        <v>300000</v>
      </c>
      <c r="L36" s="146">
        <f>K36*2</f>
        <v>600000</v>
      </c>
      <c r="M36" s="140" t="s">
        <v>110</v>
      </c>
      <c r="N36" s="72">
        <f>G45+G18</f>
        <v>0</v>
      </c>
    </row>
    <row r="37" spans="2:16">
      <c r="B37" s="73"/>
      <c r="C37" s="274"/>
      <c r="D37" s="86"/>
      <c r="E37" s="89"/>
      <c r="F37" s="164" t="s">
        <v>115</v>
      </c>
      <c r="G37" s="108"/>
      <c r="H37" s="74"/>
      <c r="I37" t="s">
        <v>215</v>
      </c>
      <c r="K37" s="140">
        <v>370000</v>
      </c>
      <c r="L37" s="140">
        <f>K37</f>
        <v>370000</v>
      </c>
      <c r="M37" s="140" t="s">
        <v>216</v>
      </c>
      <c r="N37" s="72">
        <f>G9</f>
        <v>0</v>
      </c>
    </row>
    <row r="38" spans="2:16">
      <c r="B38" s="96"/>
      <c r="C38" s="275"/>
      <c r="D38" s="98"/>
      <c r="E38" s="99"/>
      <c r="F38" s="168" t="s">
        <v>153</v>
      </c>
      <c r="G38" s="107"/>
      <c r="H38" s="97"/>
    </row>
    <row r="39" spans="2:16">
      <c r="B39" s="73" t="s">
        <v>168</v>
      </c>
      <c r="C39" s="281" t="s">
        <v>186</v>
      </c>
      <c r="D39" s="86">
        <v>45597</v>
      </c>
      <c r="E39" s="89">
        <v>45931</v>
      </c>
      <c r="F39" s="163" t="s">
        <v>114</v>
      </c>
      <c r="G39" s="109"/>
      <c r="H39" s="74"/>
      <c r="I39" t="s">
        <v>215</v>
      </c>
      <c r="L39" s="140">
        <f>L34+L36+L37</f>
        <v>30787294.37229437</v>
      </c>
      <c r="N39" s="140">
        <f>N34+N36+N37</f>
        <v>4033333.333333333</v>
      </c>
    </row>
    <row r="40" spans="2:16">
      <c r="B40" s="73"/>
      <c r="C40" s="275"/>
      <c r="D40" s="86"/>
      <c r="E40" s="89"/>
      <c r="F40" s="163"/>
      <c r="G40" s="78"/>
      <c r="H40" s="74"/>
    </row>
    <row r="41" spans="2:16">
      <c r="B41" s="91" t="s">
        <v>102</v>
      </c>
      <c r="C41" s="29" t="s">
        <v>211</v>
      </c>
      <c r="D41" s="92">
        <v>45536</v>
      </c>
      <c r="E41" s="93">
        <v>45657</v>
      </c>
      <c r="F41" s="166" t="s">
        <v>109</v>
      </c>
      <c r="G41" s="94"/>
      <c r="H41" s="95"/>
      <c r="I41" t="s">
        <v>215</v>
      </c>
      <c r="L41" s="140">
        <f>SUM(L7:L24)+L26+L33+L36</f>
        <v>26710476.19047619</v>
      </c>
      <c r="M41" t="s">
        <v>217</v>
      </c>
    </row>
    <row r="42" spans="2:16">
      <c r="B42" s="73"/>
      <c r="C42" s="77"/>
      <c r="D42" s="86"/>
      <c r="E42" s="89"/>
      <c r="F42" s="163" t="s">
        <v>123</v>
      </c>
      <c r="G42" s="78"/>
      <c r="H42" s="74"/>
      <c r="I42" t="s">
        <v>215</v>
      </c>
    </row>
    <row r="43" spans="2:16">
      <c r="B43" s="73"/>
      <c r="C43" s="77"/>
      <c r="D43" s="86"/>
      <c r="E43" s="89"/>
      <c r="F43" s="163" t="s">
        <v>169</v>
      </c>
      <c r="G43" s="78"/>
      <c r="H43" s="74"/>
      <c r="I43" t="s">
        <v>215</v>
      </c>
    </row>
    <row r="44" spans="2:16">
      <c r="B44" s="73"/>
      <c r="C44" s="77"/>
      <c r="D44" s="86"/>
      <c r="E44" s="89"/>
      <c r="F44" s="163" t="s">
        <v>212</v>
      </c>
      <c r="G44" s="78"/>
      <c r="H44" s="74"/>
      <c r="I44" t="s">
        <v>215</v>
      </c>
      <c r="L44" s="140" cm="1">
        <f t="array" ref="L44:P44">'3.請求書'!F29:J29</f>
        <v>0</v>
      </c>
      <c r="M44">
        <v>0</v>
      </c>
      <c r="N44">
        <v>0</v>
      </c>
      <c r="O44">
        <v>0</v>
      </c>
      <c r="P44">
        <v>0</v>
      </c>
    </row>
    <row r="45" spans="2:16">
      <c r="B45" s="73"/>
      <c r="C45" s="77"/>
      <c r="D45" s="86"/>
      <c r="E45" s="89"/>
      <c r="F45" s="163" t="s">
        <v>110</v>
      </c>
      <c r="G45" s="78"/>
      <c r="H45" s="74"/>
      <c r="I45" t="s">
        <v>215</v>
      </c>
      <c r="L45" s="140">
        <f>L39-L44</f>
        <v>30787294.37229437</v>
      </c>
    </row>
    <row r="46" spans="2:16">
      <c r="B46" s="73"/>
      <c r="C46" s="77"/>
      <c r="D46" s="86"/>
      <c r="E46" s="89"/>
      <c r="F46" s="163" t="s">
        <v>184</v>
      </c>
      <c r="G46" s="78"/>
      <c r="H46" s="74"/>
      <c r="I46" t="s">
        <v>215</v>
      </c>
    </row>
    <row r="47" spans="2:16">
      <c r="B47" s="73"/>
      <c r="C47" s="77"/>
      <c r="D47" s="86"/>
      <c r="E47" s="89"/>
      <c r="F47" s="165" t="s">
        <v>124</v>
      </c>
      <c r="G47" s="79"/>
      <c r="H47" s="74"/>
    </row>
    <row r="48" spans="2:16">
      <c r="B48" s="73"/>
      <c r="C48" s="77"/>
      <c r="D48" s="86"/>
      <c r="E48" s="89"/>
      <c r="F48" s="163"/>
      <c r="G48" s="78"/>
      <c r="H48" s="74"/>
    </row>
    <row r="49" spans="2:9">
      <c r="B49" s="91" t="s">
        <v>101</v>
      </c>
      <c r="C49" s="276" t="s">
        <v>127</v>
      </c>
      <c r="D49" s="92">
        <v>45292</v>
      </c>
      <c r="E49" s="93">
        <v>45657</v>
      </c>
      <c r="F49" s="166" t="s">
        <v>122</v>
      </c>
      <c r="G49" s="110"/>
      <c r="H49" s="95"/>
      <c r="I49" t="s">
        <v>215</v>
      </c>
    </row>
    <row r="50" spans="2:9">
      <c r="B50" s="96"/>
      <c r="C50" s="285"/>
      <c r="D50" s="98"/>
      <c r="E50" s="99"/>
      <c r="F50" s="167"/>
      <c r="G50" s="100"/>
      <c r="H50" s="97"/>
    </row>
    <row r="51" spans="2:9">
      <c r="B51" s="91" t="s">
        <v>173</v>
      </c>
      <c r="C51" s="276" t="s">
        <v>174</v>
      </c>
      <c r="D51" s="92">
        <v>45536</v>
      </c>
      <c r="E51" s="93">
        <v>45657</v>
      </c>
      <c r="F51" s="166" t="s">
        <v>119</v>
      </c>
      <c r="G51" s="144"/>
      <c r="H51" s="95"/>
      <c r="I51" t="s">
        <v>215</v>
      </c>
    </row>
    <row r="52" spans="2:9">
      <c r="B52" s="73"/>
      <c r="C52" s="277"/>
      <c r="D52" s="86"/>
      <c r="E52" s="89"/>
      <c r="F52" s="163" t="s">
        <v>175</v>
      </c>
      <c r="G52" s="112"/>
      <c r="H52" s="74"/>
      <c r="I52" t="s">
        <v>215</v>
      </c>
    </row>
    <row r="53" spans="2:9">
      <c r="B53" s="96"/>
      <c r="C53" s="285"/>
      <c r="D53" s="98"/>
      <c r="E53" s="99"/>
      <c r="F53" s="168" t="s">
        <v>124</v>
      </c>
      <c r="G53" s="113"/>
      <c r="H53" s="97"/>
    </row>
    <row r="54" spans="2:9">
      <c r="B54" s="73" t="s">
        <v>117</v>
      </c>
      <c r="C54" s="276" t="s">
        <v>128</v>
      </c>
      <c r="D54" s="86">
        <v>45383</v>
      </c>
      <c r="E54" s="89">
        <v>45777</v>
      </c>
      <c r="F54" s="163" t="s">
        <v>118</v>
      </c>
      <c r="G54" s="112"/>
      <c r="H54" s="269"/>
      <c r="I54" t="s">
        <v>215</v>
      </c>
    </row>
    <row r="55" spans="2:9">
      <c r="B55" s="73"/>
      <c r="C55" s="277"/>
      <c r="D55" s="86"/>
      <c r="E55" s="89"/>
      <c r="F55" s="163" t="s">
        <v>171</v>
      </c>
      <c r="G55" s="80"/>
      <c r="H55" s="270"/>
      <c r="I55" t="s">
        <v>215</v>
      </c>
    </row>
    <row r="56" spans="2:9">
      <c r="B56" s="73"/>
      <c r="C56" s="277"/>
      <c r="D56" s="86"/>
      <c r="E56" s="89"/>
      <c r="F56" s="163" t="s">
        <v>180</v>
      </c>
      <c r="G56" s="80"/>
      <c r="H56" s="74"/>
      <c r="I56" t="s">
        <v>215</v>
      </c>
    </row>
    <row r="57" spans="2:9" ht="15.75" thickBot="1">
      <c r="B57" s="75"/>
      <c r="C57" s="278"/>
      <c r="D57" s="87"/>
      <c r="E57" s="90"/>
      <c r="F57" s="169" t="s">
        <v>124</v>
      </c>
      <c r="G57" s="111"/>
      <c r="H57" s="76"/>
    </row>
    <row r="58" spans="2:9" ht="31.5" customHeight="1" thickBot="1">
      <c r="B58" s="114" t="s">
        <v>176</v>
      </c>
      <c r="C58" s="116" t="s">
        <v>177</v>
      </c>
      <c r="D58" s="117">
        <v>45536</v>
      </c>
      <c r="E58" s="117">
        <v>45627</v>
      </c>
      <c r="F58" s="170" t="s">
        <v>178</v>
      </c>
      <c r="G58" s="118">
        <f>600000*4</f>
        <v>2400000</v>
      </c>
      <c r="H58" s="115" t="s">
        <v>179</v>
      </c>
    </row>
    <row r="60" spans="2:9" ht="15.75" thickBot="1"/>
    <row r="61" spans="2:9" ht="15.75" thickBot="1">
      <c r="F61" s="171" t="s">
        <v>172</v>
      </c>
      <c r="G61" s="119">
        <f>G11+G16+G21+G30+G38+G39+G47+G49+G57+G53+G58</f>
        <v>4033333.333333333</v>
      </c>
    </row>
    <row r="63" spans="2:9">
      <c r="G63" s="72">
        <v>4680000000</v>
      </c>
    </row>
    <row r="65" spans="7:7">
      <c r="G65">
        <f>G63/G61</f>
        <v>1160.3305785123969</v>
      </c>
    </row>
    <row r="66" spans="7:7">
      <c r="G66" s="72"/>
    </row>
  </sheetData>
  <mergeCells count="19">
    <mergeCell ref="B28:B30"/>
    <mergeCell ref="C51:C53"/>
    <mergeCell ref="C22:C23"/>
    <mergeCell ref="C24:C25"/>
    <mergeCell ref="B4:B5"/>
    <mergeCell ref="C4:C5"/>
    <mergeCell ref="H54:H55"/>
    <mergeCell ref="H4:H5"/>
    <mergeCell ref="C6:C11"/>
    <mergeCell ref="C54:C57"/>
    <mergeCell ref="C26:C27"/>
    <mergeCell ref="C28:C30"/>
    <mergeCell ref="C31:C38"/>
    <mergeCell ref="C39:C40"/>
    <mergeCell ref="D4:E4"/>
    <mergeCell ref="F4:F5"/>
    <mergeCell ref="C12:C16"/>
    <mergeCell ref="C17:C21"/>
    <mergeCell ref="C49:C50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9BB980D5A37FB40B96CE4DFEBB5DECC" ma:contentTypeVersion="13" ma:contentTypeDescription="新しいドキュメントを作成します。" ma:contentTypeScope="" ma:versionID="4e15169000699970db14cf74684934fe">
  <xsd:schema xmlns:xsd="http://www.w3.org/2001/XMLSchema" xmlns:xs="http://www.w3.org/2001/XMLSchema" xmlns:p="http://schemas.microsoft.com/office/2006/metadata/properties" xmlns:ns2="fff645e5-e5cd-4006-843d-6302b58ced4e" xmlns:ns3="5b6984b0-0327-4a17-ac83-fda938f9538b" targetNamespace="http://schemas.microsoft.com/office/2006/metadata/properties" ma:root="true" ma:fieldsID="f9e8e5691ddb42896c1fa8a7f0433b7c" ns2:_="" ns3:_="">
    <xsd:import namespace="fff645e5-e5cd-4006-843d-6302b58ced4e"/>
    <xsd:import namespace="5b6984b0-0327-4a17-ac83-fda938f9538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645e5-e5cd-4006-843d-6302b58ced4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614e62-f72f-4455-9f78-6a29b2f22880}" ma:internalName="TaxCatchAll" ma:showField="CatchAllData" ma:web="fff645e5-e5cd-4006-843d-6302b58ced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984b0-0327-4a17-ac83-fda938f953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c5da72bd-7367-4466-ac27-87970da8d3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6984b0-0327-4a17-ac83-fda938f9538b">
      <Terms xmlns="http://schemas.microsoft.com/office/infopath/2007/PartnerControls"/>
    </lcf76f155ced4ddcb4097134ff3c332f>
    <TaxCatchAll xmlns="fff645e5-e5cd-4006-843d-6302b58ced4e" xsi:nil="true"/>
    <SharedWithUsers xmlns="fff645e5-e5cd-4006-843d-6302b58ced4e">
      <UserInfo>
        <DisplayName>中村 幸彦</DisplayName>
        <AccountId>42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A8C061-9A6B-4743-BE77-07B99B3CCC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f645e5-e5cd-4006-843d-6302b58ced4e"/>
    <ds:schemaRef ds:uri="5b6984b0-0327-4a17-ac83-fda938f953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424E59-A337-4C96-913F-0D9C1200D789}">
  <ds:schemaRefs>
    <ds:schemaRef ds:uri="http://schemas.microsoft.com/office/2006/metadata/properties"/>
    <ds:schemaRef ds:uri="http://schemas.microsoft.com/office/2006/documentManagement/types"/>
    <ds:schemaRef ds:uri="fff645e5-e5cd-4006-843d-6302b58ced4e"/>
    <ds:schemaRef ds:uri="http://www.w3.org/XML/1998/namespace"/>
    <ds:schemaRef ds:uri="http://purl.org/dc/terms/"/>
    <ds:schemaRef ds:uri="5b6984b0-0327-4a17-ac83-fda938f9538b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89B7D53-E818-4F45-8A4E-1415FDEEFA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1.契約要目表</vt:lpstr>
      <vt:lpstr>注</vt:lpstr>
      <vt:lpstr>2.Sep_24 </vt:lpstr>
      <vt:lpstr>2.Oct_24</vt:lpstr>
      <vt:lpstr>2.Nov_24</vt:lpstr>
      <vt:lpstr>2.Dec_24</vt:lpstr>
      <vt:lpstr>3.請求書</vt:lpstr>
      <vt:lpstr>Project Status</vt:lpstr>
      <vt:lpstr>'2.Dec_24'!Print_Area</vt:lpstr>
      <vt:lpstr>'2.Nov_24'!Print_Area</vt:lpstr>
      <vt:lpstr>'2.Oct_24'!Print_Area</vt:lpstr>
      <vt:lpstr>'2.Sep_24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 直也</dc:creator>
  <cp:keywords/>
  <dc:description/>
  <cp:lastModifiedBy>duc anh tran</cp:lastModifiedBy>
  <cp:revision/>
  <cp:lastPrinted>2025-02-06T01:12:27Z</cp:lastPrinted>
  <dcterms:created xsi:type="dcterms:W3CDTF">2023-01-23T08:53:10Z</dcterms:created>
  <dcterms:modified xsi:type="dcterms:W3CDTF">2025-04-05T08:22:21Z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0x01010039BB980D5A37FB40B96CE4DFEBB5DECC</vt:lpwstr>
  </property>
</Properties>
</file>